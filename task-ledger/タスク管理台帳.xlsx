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タスク" sheetId="1" state="visible" r:id="rId3"/>
    <sheet name="ガント" sheetId="2" state="visible" r:id="rId4"/>
    <sheet name="案件サマリ" sheetId="3" state="visible" r:id="rId5"/>
    <sheet name="ダッシュボード" sheetId="4" state="visible" r:id="rId6"/>
    <sheet name="月次工数" sheetId="5" state="visible" r:id="rId7"/>
    <sheet name="工数ログ" sheetId="6" state="visible" r:id="rId8"/>
    <sheet name="案件マスタ" sheetId="7" state="visible" r:id="rId9"/>
    <sheet name="設定" sheetId="8" state="visible" r:id="rId10"/>
  </sheets>
  <definedNames>
    <definedName function="false" hidden="true" localSheetId="0" name="_xlnm._FilterDatabase" vbProcedure="false">タスク!$A$3:$P$503</definedName>
    <definedName function="false" hidden="false" name="メンバーリスト" vbProcedure="false">設定!$A$4:$A$13</definedName>
    <definedName function="false" hidden="false" name="案件リスト" vbProcedure="false">案件マスタ!$B$4:$B$23</definedName>
    <definedName function="false" hidden="false" name="状態リスト" vbProcedure="false">設定!$E$11:$E$14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<sst xmlns="http://schemas.openxmlformats.org/spreadsheetml/2006/main" count="177" uniqueCount="120">
  <si>
    <t xml:space="preserve">root@team:~# ./task_control --all</t>
  </si>
  <si>
    <r>
      <rPr>
        <sz val="9"/>
        <color rgb="FF6E7681"/>
        <rFont val="WenQuanYi Zen Hei"/>
        <family val="2"/>
      </rPr>
      <t xml:space="preserve">薄い青灰色のセルが入力欄。</t>
    </r>
    <r>
      <rPr>
        <sz val="9"/>
        <color rgb="FF6E7681"/>
        <rFont val="Meiryo UI"/>
        <family val="0"/>
        <charset val="1"/>
      </rPr>
      <t xml:space="preserve">No/</t>
    </r>
    <r>
      <rPr>
        <sz val="9"/>
        <color rgb="FF6E7681"/>
        <rFont val="WenQuanYi Zen Hei"/>
        <family val="2"/>
      </rPr>
      <t xml:space="preserve">顧客</t>
    </r>
    <r>
      <rPr>
        <sz val="9"/>
        <color rgb="FF6E7681"/>
        <rFont val="Meiryo UI"/>
        <family val="0"/>
        <charset val="1"/>
      </rPr>
      <t xml:space="preserve">/</t>
    </r>
    <r>
      <rPr>
        <sz val="9"/>
        <color rgb="FF6E7681"/>
        <rFont val="WenQuanYi Zen Hei"/>
        <family val="2"/>
      </rPr>
      <t xml:space="preserve">アラート</t>
    </r>
    <r>
      <rPr>
        <sz val="9"/>
        <color rgb="FF6E7681"/>
        <rFont val="Meiryo UI"/>
        <family val="0"/>
        <charset val="1"/>
      </rPr>
      <t xml:space="preserve">/</t>
    </r>
    <r>
      <rPr>
        <sz val="9"/>
        <color rgb="FF6E7681"/>
        <rFont val="WenQuanYi Zen Hei"/>
        <family val="2"/>
      </rPr>
      <t xml:space="preserve">実績工数は自動。状態を「完了」にできるのはメンターのみ</t>
    </r>
    <r>
      <rPr>
        <sz val="9"/>
        <color rgb="FF6E7681"/>
        <rFont val="Meiryo UI"/>
        <family val="0"/>
        <charset val="1"/>
      </rPr>
      <t xml:space="preserve">(</t>
    </r>
    <r>
      <rPr>
        <sz val="9"/>
        <color rgb="FF6E7681"/>
        <rFont val="WenQuanYi Zen Hei"/>
        <family val="2"/>
      </rPr>
      <t xml:space="preserve">新人は「レビュー待ち」まで</t>
    </r>
    <r>
      <rPr>
        <sz val="9"/>
        <color rgb="FF6E7681"/>
        <rFont val="Meiryo UI"/>
        <family val="0"/>
        <charset val="1"/>
      </rPr>
      <t xml:space="preserve">)</t>
    </r>
    <r>
      <rPr>
        <sz val="9"/>
        <color rgb="FF6E7681"/>
        <rFont val="WenQuanYi Zen Hei"/>
        <family val="2"/>
      </rPr>
      <t xml:space="preserve">。例の</t>
    </r>
    <r>
      <rPr>
        <sz val="9"/>
        <color rgb="FF6E7681"/>
        <rFont val="Meiryo UI"/>
        <family val="0"/>
        <charset val="1"/>
      </rPr>
      <t xml:space="preserve">5</t>
    </r>
    <r>
      <rPr>
        <sz val="9"/>
        <color rgb="FF6E7681"/>
        <rFont val="WenQuanYi Zen Hei"/>
        <family val="2"/>
      </rPr>
      <t xml:space="preserve">行は消して使う。</t>
    </r>
  </si>
  <si>
    <t xml:space="preserve">No</t>
  </si>
  <si>
    <t xml:space="preserve">顧客</t>
  </si>
  <si>
    <t xml:space="preserve">案件</t>
  </si>
  <si>
    <t xml:space="preserve">タスク名</t>
  </si>
  <si>
    <t xml:space="preserve">担当</t>
  </si>
  <si>
    <t xml:space="preserve">開始日</t>
  </si>
  <si>
    <t xml:space="preserve">期限</t>
  </si>
  <si>
    <t xml:space="preserve">状態</t>
  </si>
  <si>
    <r>
      <rPr>
        <b val="true"/>
        <sz val="10"/>
        <color rgb="FF00E676"/>
        <rFont val="WenQuanYi Zen Hei"/>
        <family val="2"/>
      </rPr>
      <t xml:space="preserve">進捗</t>
    </r>
    <r>
      <rPr>
        <b val="true"/>
        <sz val="10"/>
        <color rgb="FF00E676"/>
        <rFont val="Meiryo UI"/>
        <family val="0"/>
        <charset val="1"/>
      </rPr>
      <t xml:space="preserve">%</t>
    </r>
  </si>
  <si>
    <t xml:space="preserve">アラート</t>
  </si>
  <si>
    <r>
      <rPr>
        <b val="true"/>
        <sz val="10"/>
        <color rgb="FF00E676"/>
        <rFont val="WenQuanYi Zen Hei"/>
        <family val="2"/>
      </rPr>
      <t xml:space="preserve">予定工数</t>
    </r>
    <r>
      <rPr>
        <b val="true"/>
        <sz val="10"/>
        <color rgb="FF00E676"/>
        <rFont val="Meiryo UI"/>
        <family val="0"/>
        <charset val="1"/>
      </rPr>
      <t xml:space="preserve">h</t>
    </r>
  </si>
  <si>
    <r>
      <rPr>
        <b val="true"/>
        <sz val="10"/>
        <color rgb="FF00E676"/>
        <rFont val="WenQuanYi Zen Hei"/>
        <family val="2"/>
      </rPr>
      <t xml:space="preserve">実績工数</t>
    </r>
    <r>
      <rPr>
        <b val="true"/>
        <sz val="10"/>
        <color rgb="FF00E676"/>
        <rFont val="Meiryo UI"/>
        <family val="0"/>
        <charset val="1"/>
      </rPr>
      <t xml:space="preserve">h</t>
    </r>
  </si>
  <si>
    <t xml:space="preserve">完了の定義</t>
  </si>
  <si>
    <t xml:space="preserve">メモ</t>
  </si>
  <si>
    <t xml:space="preserve">登録日</t>
  </si>
  <si>
    <t xml:space="preserve">完了日</t>
  </si>
  <si>
    <r>
      <rPr>
        <sz val="10"/>
        <color rgb="FFC9D1D9"/>
        <rFont val="Meiryo UI"/>
        <family val="0"/>
        <charset val="1"/>
      </rPr>
      <t xml:space="preserve">A</t>
    </r>
    <r>
      <rPr>
        <sz val="10"/>
        <color rgb="FFC9D1D9"/>
        <rFont val="WenQuanYi Zen Hei"/>
        <family val="2"/>
      </rPr>
      <t xml:space="preserve">社</t>
    </r>
    <r>
      <rPr>
        <sz val="10"/>
        <color rgb="FFC9D1D9"/>
        <rFont val="Meiryo UI"/>
        <family val="0"/>
        <charset val="1"/>
      </rPr>
      <t xml:space="preserve">_</t>
    </r>
    <r>
      <rPr>
        <sz val="10"/>
        <color rgb="FFC9D1D9"/>
        <rFont val="WenQuanYi Zen Hei"/>
        <family val="2"/>
      </rPr>
      <t xml:space="preserve">無線</t>
    </r>
    <r>
      <rPr>
        <sz val="10"/>
        <color rgb="FFC9D1D9"/>
        <rFont val="Meiryo UI"/>
        <family val="0"/>
        <charset val="1"/>
      </rPr>
      <t xml:space="preserve">LAN</t>
    </r>
    <r>
      <rPr>
        <sz val="10"/>
        <color rgb="FFC9D1D9"/>
        <rFont val="WenQuanYi Zen Hei"/>
        <family val="2"/>
      </rPr>
      <t xml:space="preserve">更改</t>
    </r>
  </si>
  <si>
    <t xml:space="preserve">現地調査結果のまとめ</t>
  </si>
  <si>
    <r>
      <rPr>
        <sz val="10"/>
        <color rgb="FFC9D1D9"/>
        <rFont val="WenQuanYi Zen Hei"/>
        <family val="2"/>
      </rPr>
      <t xml:space="preserve">新人</t>
    </r>
    <r>
      <rPr>
        <sz val="10"/>
        <color rgb="FFC9D1D9"/>
        <rFont val="Meiryo UI"/>
        <family val="0"/>
        <charset val="1"/>
      </rPr>
      <t xml:space="preserve">A</t>
    </r>
  </si>
  <si>
    <t xml:space="preserve">進行中</t>
  </si>
  <si>
    <r>
      <rPr>
        <sz val="10"/>
        <color rgb="FFC9D1D9"/>
        <rFont val="WenQuanYi Zen Hei"/>
        <family val="2"/>
      </rPr>
      <t xml:space="preserve">調査結果を</t>
    </r>
    <r>
      <rPr>
        <sz val="10"/>
        <color rgb="FFC9D1D9"/>
        <rFont val="Meiryo UI"/>
        <family val="0"/>
        <charset val="1"/>
      </rPr>
      <t xml:space="preserve">Excel</t>
    </r>
    <r>
      <rPr>
        <sz val="10"/>
        <color rgb="FFC9D1D9"/>
        <rFont val="WenQuanYi Zen Hei"/>
        <family val="2"/>
      </rPr>
      <t xml:space="preserve">にまとめ、抜けがないかメンター確認</t>
    </r>
  </si>
  <si>
    <t xml:space="preserve">機器設定パラメータシート作成</t>
  </si>
  <si>
    <t xml:space="preserve">レビュー待ち</t>
  </si>
  <si>
    <t xml:space="preserve">テンプレ全項目を埋めてレビュー依頼</t>
  </si>
  <si>
    <r>
      <rPr>
        <sz val="10"/>
        <color rgb="FFC9D1D9"/>
        <rFont val="Meiryo UI"/>
        <family val="0"/>
        <charset val="1"/>
      </rPr>
      <t xml:space="preserve">A</t>
    </r>
    <r>
      <rPr>
        <sz val="10"/>
        <color rgb="FFC9D1D9"/>
        <rFont val="WenQuanYi Zen Hei"/>
        <family val="2"/>
      </rPr>
      <t xml:space="preserve">社</t>
    </r>
    <r>
      <rPr>
        <sz val="10"/>
        <color rgb="FFC9D1D9"/>
        <rFont val="Meiryo UI"/>
        <family val="0"/>
        <charset val="1"/>
      </rPr>
      <t xml:space="preserve">_FW</t>
    </r>
    <r>
      <rPr>
        <sz val="10"/>
        <color rgb="FFC9D1D9"/>
        <rFont val="WenQuanYi Zen Hei"/>
        <family val="2"/>
      </rPr>
      <t xml:space="preserve">更改</t>
    </r>
  </si>
  <si>
    <t xml:space="preserve">検証構成図の作成</t>
  </si>
  <si>
    <r>
      <rPr>
        <sz val="10"/>
        <color rgb="FFC9D1D9"/>
        <rFont val="WenQuanYi Zen Hei"/>
        <family val="2"/>
      </rPr>
      <t xml:space="preserve">新人</t>
    </r>
    <r>
      <rPr>
        <sz val="10"/>
        <color rgb="FFC9D1D9"/>
        <rFont val="Meiryo UI"/>
        <family val="0"/>
        <charset val="1"/>
      </rPr>
      <t xml:space="preserve">B</t>
    </r>
  </si>
  <si>
    <t xml:space="preserve">検証ラボの物理・論理構成図を作成</t>
  </si>
  <si>
    <r>
      <rPr>
        <sz val="10"/>
        <color rgb="FFC9D1D9"/>
        <rFont val="Meiryo UI"/>
        <family val="0"/>
        <charset val="1"/>
      </rPr>
      <t xml:space="preserve">B</t>
    </r>
    <r>
      <rPr>
        <sz val="10"/>
        <color rgb="FFC9D1D9"/>
        <rFont val="WenQuanYi Zen Hei"/>
        <family val="2"/>
      </rPr>
      <t xml:space="preserve">社</t>
    </r>
    <r>
      <rPr>
        <sz val="10"/>
        <color rgb="FFC9D1D9"/>
        <rFont val="Meiryo UI"/>
        <family val="0"/>
        <charset val="1"/>
      </rPr>
      <t xml:space="preserve">_</t>
    </r>
    <r>
      <rPr>
        <sz val="10"/>
        <color rgb="FFC9D1D9"/>
        <rFont val="WenQuanYi Zen Hei"/>
        <family val="2"/>
      </rPr>
      <t xml:space="preserve">監視導入</t>
    </r>
  </si>
  <si>
    <t xml:space="preserve">監視項目一覧のドラフト</t>
  </si>
  <si>
    <t xml:space="preserve">完了</t>
  </si>
  <si>
    <t xml:space="preserve">監視対象と閾値の一覧を作成</t>
  </si>
  <si>
    <t xml:space="preserve">死活監視の検証</t>
  </si>
  <si>
    <t xml:space="preserve">未着手</t>
  </si>
  <si>
    <t xml:space="preserve">検証ラボでポーリング動作を確認しエビデンス取得</t>
  </si>
  <si>
    <t xml:space="preserve">root@team:~# ./gantt --days 70</t>
  </si>
  <si>
    <t xml:space="preserve">表示開始日→</t>
  </si>
  <si>
    <t xml:space="preserve">予定</t>
  </si>
  <si>
    <t xml:space="preserve">実績</t>
  </si>
  <si>
    <t xml:space="preserve">▶進捗位置</t>
  </si>
  <si>
    <t xml:space="preserve">今日</t>
  </si>
  <si>
    <r>
      <rPr>
        <sz val="9"/>
        <color rgb="FFFFD740"/>
        <rFont val="Meiryo UI"/>
        <family val="0"/>
        <charset val="1"/>
      </rPr>
      <t xml:space="preserve">▶(</t>
    </r>
    <r>
      <rPr>
        <sz val="9"/>
        <color rgb="FFFFD740"/>
        <rFont val="WenQuanYi Zen Hei"/>
        <family val="2"/>
      </rPr>
      <t xml:space="preserve">赤</t>
    </r>
    <r>
      <rPr>
        <sz val="9"/>
        <color rgb="FFFFD740"/>
        <rFont val="Meiryo UI"/>
        <family val="0"/>
        <charset val="1"/>
      </rPr>
      <t xml:space="preserve">)</t>
    </r>
    <r>
      <rPr>
        <sz val="9"/>
        <color rgb="FFFFD740"/>
        <rFont val="WenQuanYi Zen Hei"/>
        <family val="2"/>
      </rPr>
      <t xml:space="preserve">が「今日」の列より左にある行 </t>
    </r>
    <r>
      <rPr>
        <sz val="9"/>
        <color rgb="FFFFD740"/>
        <rFont val="Meiryo UI"/>
        <family val="0"/>
        <charset val="1"/>
      </rPr>
      <t xml:space="preserve">= </t>
    </r>
    <r>
      <rPr>
        <sz val="9"/>
        <color rgb="FFFFD740"/>
        <rFont val="WenQuanYi Zen Hei"/>
        <family val="2"/>
      </rPr>
      <t xml:space="preserve">進捗が遅れている。縦に眺めればイナズマ線と同じ読み方。</t>
    </r>
  </si>
  <si>
    <t xml:space="preserve">開始</t>
  </si>
  <si>
    <t xml:space="preserve">進捗</t>
  </si>
  <si>
    <t xml:space="preserve">root@team:~# ./projects --overview</t>
  </si>
  <si>
    <t xml:space="preserve">全て自動計算。案件の追加は「案件マスタ」シートで。</t>
  </si>
  <si>
    <t xml:space="preserve">タスク数</t>
  </si>
  <si>
    <t xml:space="preserve">🔴超過</t>
  </si>
  <si>
    <t xml:space="preserve">🟡今日</t>
  </si>
  <si>
    <t xml:space="preserve">進捗率</t>
  </si>
  <si>
    <r>
      <rPr>
        <b val="true"/>
        <sz val="10"/>
        <color rgb="FF00E676"/>
        <rFont val="WenQuanYi Zen Hei"/>
        <family val="2"/>
      </rPr>
      <t xml:space="preserve">差分</t>
    </r>
    <r>
      <rPr>
        <b val="true"/>
        <sz val="10"/>
        <color rgb="FF00E676"/>
        <rFont val="Meiryo UI"/>
        <family val="0"/>
        <charset val="1"/>
      </rPr>
      <t xml:space="preserve">h</t>
    </r>
  </si>
  <si>
    <t xml:space="preserve">状況</t>
  </si>
  <si>
    <t xml:space="preserve">TOTAL</t>
  </si>
  <si>
    <t xml:space="preserve">root@team:~# ./dashboard --daily-standup</t>
  </si>
  <si>
    <r>
      <rPr>
        <sz val="9"/>
        <color rgb="FF6E7681"/>
        <rFont val="WenQuanYi Zen Hei"/>
        <family val="2"/>
      </rPr>
      <t xml:space="preserve">朝会はこのシートを画面共有して</t>
    </r>
    <r>
      <rPr>
        <sz val="9"/>
        <color rgb="FF6E7681"/>
        <rFont val="Meiryo UI"/>
        <family val="0"/>
        <charset val="1"/>
      </rPr>
      <t xml:space="preserve">5</t>
    </r>
    <r>
      <rPr>
        <sz val="9"/>
        <color rgb="FF6E7681"/>
        <rFont val="WenQuanYi Zen Hei"/>
        <family val="2"/>
      </rPr>
      <t xml:space="preserve">分で読み合わせ。全て自動計算。案件別の俯瞰は「案件サマリ」シート。</t>
    </r>
  </si>
  <si>
    <t xml:space="preserve">🔴 OVERDUE</t>
  </si>
  <si>
    <t xml:space="preserve">🟡 TODAY</t>
  </si>
  <si>
    <t xml:space="preserve">🔵 REVIEW</t>
  </si>
  <si>
    <t xml:space="preserve">⚠ NO DUE</t>
  </si>
  <si>
    <t xml:space="preserve">IN PROGRESS</t>
  </si>
  <si>
    <r>
      <rPr>
        <b val="true"/>
        <sz val="9"/>
        <color rgb="FF00E676"/>
        <rFont val="WenQuanYi Zen Hei"/>
        <family val="2"/>
      </rPr>
      <t xml:space="preserve">今日の総工数</t>
    </r>
    <r>
      <rPr>
        <b val="true"/>
        <sz val="9"/>
        <color rgb="FF00E676"/>
        <rFont val="Consolas"/>
        <family val="0"/>
        <charset val="1"/>
      </rPr>
      <t xml:space="preserve">h</t>
    </r>
  </si>
  <si>
    <t xml:space="preserve">&gt; MEMBER STATUS</t>
  </si>
  <si>
    <t xml:space="preserve">仕掛かり計</t>
  </si>
  <si>
    <r>
      <rPr>
        <b val="true"/>
        <sz val="10"/>
        <color rgb="FF00E676"/>
        <rFont val="WenQuanYi Zen Hei"/>
        <family val="2"/>
      </rPr>
      <t xml:space="preserve">今日の工数</t>
    </r>
    <r>
      <rPr>
        <b val="true"/>
        <sz val="10"/>
        <color rgb="FF00E676"/>
        <rFont val="Meiryo UI"/>
        <family val="0"/>
        <charset val="1"/>
      </rPr>
      <t xml:space="preserve">h</t>
    </r>
  </si>
  <si>
    <t xml:space="preserve">&gt; RULES OF ENGAGEMENT</t>
  </si>
  <si>
    <r>
      <rPr>
        <sz val="10"/>
        <color rgb="FFC9D1D9"/>
        <rFont val="Meiryo UI"/>
        <family val="0"/>
        <charset val="1"/>
      </rPr>
      <t xml:space="preserve">1. </t>
    </r>
    <r>
      <rPr>
        <sz val="10"/>
        <color rgb="FFC9D1D9"/>
        <rFont val="WenQuanYi Zen Hei"/>
        <family val="2"/>
      </rPr>
      <t xml:space="preserve">振った</t>
    </r>
    <r>
      <rPr>
        <sz val="10"/>
        <color rgb="FFC9D1D9"/>
        <rFont val="Meiryo UI"/>
        <family val="0"/>
        <charset val="1"/>
      </rPr>
      <t xml:space="preserve">/</t>
    </r>
    <r>
      <rPr>
        <sz val="10"/>
        <color rgb="FFC9D1D9"/>
        <rFont val="WenQuanYi Zen Hei"/>
        <family val="2"/>
      </rPr>
      <t xml:space="preserve">振られたタスクは必ず台帳へ</t>
    </r>
    <r>
      <rPr>
        <sz val="10"/>
        <color rgb="FFC9D1D9"/>
        <rFont val="Meiryo UI"/>
        <family val="0"/>
        <charset val="1"/>
      </rPr>
      <t xml:space="preserve">(</t>
    </r>
    <r>
      <rPr>
        <sz val="10"/>
        <color rgb="FFC9D1D9"/>
        <rFont val="WenQuanYi Zen Hei"/>
        <family val="2"/>
      </rPr>
      <t xml:space="preserve">口頭・</t>
    </r>
    <r>
      <rPr>
        <sz val="10"/>
        <color rgb="FFC9D1D9"/>
        <rFont val="Meiryo UI"/>
        <family val="0"/>
        <charset val="1"/>
      </rPr>
      <t xml:space="preserve">Webex</t>
    </r>
    <r>
      <rPr>
        <sz val="10"/>
        <color rgb="FFC9D1D9"/>
        <rFont val="WenQuanYi Zen Hei"/>
        <family val="2"/>
      </rPr>
      <t xml:space="preserve">依頼も受けた側が登録</t>
    </r>
    <r>
      <rPr>
        <sz val="10"/>
        <color rgb="FFC9D1D9"/>
        <rFont val="Meiryo UI"/>
        <family val="0"/>
        <charset val="1"/>
      </rPr>
      <t xml:space="preserve">)</t>
    </r>
    <r>
      <rPr>
        <sz val="10"/>
        <color rgb="FFC9D1D9"/>
        <rFont val="WenQuanYi Zen Hei"/>
        <family val="2"/>
      </rPr>
      <t xml:space="preserve">。案件プルダウンは案件マスタで追加</t>
    </r>
  </si>
  <si>
    <r>
      <rPr>
        <sz val="10"/>
        <color rgb="FFC9D1D9"/>
        <rFont val="Meiryo UI"/>
        <family val="0"/>
        <charset val="1"/>
      </rPr>
      <t xml:space="preserve">2. </t>
    </r>
    <r>
      <rPr>
        <sz val="10"/>
        <color rgb="FFC9D1D9"/>
        <rFont val="WenQuanYi Zen Hei"/>
        <family val="2"/>
      </rPr>
      <t xml:space="preserve">期限なし禁止。</t>
    </r>
    <r>
      <rPr>
        <sz val="10"/>
        <color rgb="FFC9D1D9"/>
        <rFont val="Meiryo UI"/>
        <family val="0"/>
        <charset val="1"/>
      </rPr>
      <t xml:space="preserve">1</t>
    </r>
    <r>
      <rPr>
        <sz val="10"/>
        <color rgb="FFC9D1D9"/>
        <rFont val="WenQuanYi Zen Hei"/>
        <family val="2"/>
      </rPr>
      <t xml:space="preserve">〜</t>
    </r>
    <r>
      <rPr>
        <sz val="10"/>
        <color rgb="FFC9D1D9"/>
        <rFont val="Meiryo UI"/>
        <family val="0"/>
        <charset val="1"/>
      </rPr>
      <t xml:space="preserve">2</t>
    </r>
    <r>
      <rPr>
        <sz val="10"/>
        <color rgb="FFC9D1D9"/>
        <rFont val="WenQuanYi Zen Hei"/>
        <family val="2"/>
      </rPr>
      <t xml:space="preserve">日で終わる粒度に分割。開始日と予定工数</t>
    </r>
    <r>
      <rPr>
        <sz val="10"/>
        <color rgb="FFC9D1D9"/>
        <rFont val="Meiryo UI"/>
        <family val="0"/>
        <charset val="1"/>
      </rPr>
      <t xml:space="preserve">h</t>
    </r>
    <r>
      <rPr>
        <sz val="10"/>
        <color rgb="FFC9D1D9"/>
        <rFont val="WenQuanYi Zen Hei"/>
        <family val="2"/>
      </rPr>
      <t xml:space="preserve">も登録する</t>
    </r>
  </si>
  <si>
    <r>
      <rPr>
        <sz val="10"/>
        <color rgb="FFC9D1D9"/>
        <rFont val="Meiryo UI"/>
        <family val="0"/>
        <charset val="1"/>
      </rPr>
      <t xml:space="preserve">3. </t>
    </r>
    <r>
      <rPr>
        <sz val="10"/>
        <color rgb="FFC9D1D9"/>
        <rFont val="WenQuanYi Zen Hei"/>
        <family val="2"/>
      </rPr>
      <t xml:space="preserve">朝</t>
    </r>
    <r>
      <rPr>
        <sz val="10"/>
        <color rgb="FFC9D1D9"/>
        <rFont val="Meiryo UI"/>
        <family val="0"/>
        <charset val="1"/>
      </rPr>
      <t xml:space="preserve">: </t>
    </r>
    <r>
      <rPr>
        <sz val="10"/>
        <color rgb="FFC9D1D9"/>
        <rFont val="WenQuanYi Zen Hei"/>
        <family val="2"/>
      </rPr>
      <t xml:space="preserve">今日やるタスクを宣言 </t>
    </r>
    <r>
      <rPr>
        <sz val="10"/>
        <color rgb="FFC9D1D9"/>
        <rFont val="Meiryo UI"/>
        <family val="0"/>
        <charset val="1"/>
      </rPr>
      <t xml:space="preserve">/ </t>
    </r>
    <r>
      <rPr>
        <sz val="10"/>
        <color rgb="FFC9D1D9"/>
        <rFont val="WenQuanYi Zen Hei"/>
        <family val="2"/>
      </rPr>
      <t xml:space="preserve">夕</t>
    </r>
    <r>
      <rPr>
        <sz val="10"/>
        <color rgb="FFC9D1D9"/>
        <rFont val="Meiryo UI"/>
        <family val="0"/>
        <charset val="1"/>
      </rPr>
      <t xml:space="preserve">: </t>
    </r>
    <r>
      <rPr>
        <sz val="10"/>
        <color rgb="FFC9D1D9"/>
        <rFont val="WenQuanYi Zen Hei"/>
        <family val="2"/>
      </rPr>
      <t xml:space="preserve">結果報告</t>
    </r>
    <r>
      <rPr>
        <sz val="10"/>
        <color rgb="FFC9D1D9"/>
        <rFont val="Meiryo UI"/>
        <family val="0"/>
        <charset val="1"/>
      </rPr>
      <t xml:space="preserve">+</t>
    </r>
    <r>
      <rPr>
        <sz val="10"/>
        <color rgb="FFC9D1D9"/>
        <rFont val="WenQuanYi Zen Hei"/>
        <family val="2"/>
      </rPr>
      <t xml:space="preserve">工数ログに今日の時間を記録</t>
    </r>
    <r>
      <rPr>
        <sz val="10"/>
        <color rgb="FFC9D1D9"/>
        <rFont val="Meiryo UI"/>
        <family val="0"/>
        <charset val="1"/>
      </rPr>
      <t xml:space="preserve">(1</t>
    </r>
    <r>
      <rPr>
        <sz val="10"/>
        <color rgb="FFC9D1D9"/>
        <rFont val="WenQuanYi Zen Hei"/>
        <family val="2"/>
      </rPr>
      <t xml:space="preserve">日の合計が今日の工数</t>
    </r>
    <r>
      <rPr>
        <sz val="10"/>
        <color rgb="FFC9D1D9"/>
        <rFont val="Meiryo UI"/>
        <family val="0"/>
        <charset val="1"/>
      </rPr>
      <t xml:space="preserve">h</t>
    </r>
    <r>
      <rPr>
        <sz val="10"/>
        <color rgb="FFC9D1D9"/>
        <rFont val="WenQuanYi Zen Hei"/>
        <family val="2"/>
      </rPr>
      <t xml:space="preserve">に出る</t>
    </r>
    <r>
      <rPr>
        <sz val="10"/>
        <color rgb="FFC9D1D9"/>
        <rFont val="Meiryo UI"/>
        <family val="0"/>
        <charset val="1"/>
      </rPr>
      <t xml:space="preserve">)</t>
    </r>
  </si>
  <si>
    <r>
      <rPr>
        <sz val="10"/>
        <color rgb="FFC9D1D9"/>
        <rFont val="Meiryo UI"/>
        <family val="0"/>
        <charset val="1"/>
      </rPr>
      <t xml:space="preserve">4. </t>
    </r>
    <r>
      <rPr>
        <sz val="10"/>
        <color rgb="FFC9D1D9"/>
        <rFont val="WenQuanYi Zen Hei"/>
        <family val="2"/>
      </rPr>
      <t xml:space="preserve">「完了」への変更はメンターのみ</t>
    </r>
    <r>
      <rPr>
        <sz val="10"/>
        <color rgb="FFC9D1D9"/>
        <rFont val="Meiryo UI"/>
        <family val="0"/>
        <charset val="1"/>
      </rPr>
      <t xml:space="preserve">(</t>
    </r>
    <r>
      <rPr>
        <sz val="10"/>
        <color rgb="FFC9D1D9"/>
        <rFont val="WenQuanYi Zen Hei"/>
        <family val="2"/>
      </rPr>
      <t xml:space="preserve">新人はレビュー待ちまで</t>
    </r>
    <r>
      <rPr>
        <sz val="10"/>
        <color rgb="FFC9D1D9"/>
        <rFont val="Meiryo UI"/>
        <family val="0"/>
        <charset val="1"/>
      </rPr>
      <t xml:space="preserve">)</t>
    </r>
    <r>
      <rPr>
        <sz val="10"/>
        <color rgb="FFC9D1D9"/>
        <rFont val="WenQuanYi Zen Hei"/>
        <family val="2"/>
      </rPr>
      <t xml:space="preserve">。完了の定義を満たしているか確認</t>
    </r>
  </si>
  <si>
    <r>
      <rPr>
        <sz val="10"/>
        <color rgb="FFC9D1D9"/>
        <rFont val="Meiryo UI"/>
        <family val="0"/>
        <charset val="1"/>
      </rPr>
      <t xml:space="preserve">5. </t>
    </r>
    <r>
      <rPr>
        <sz val="10"/>
        <color rgb="FFC9D1D9"/>
        <rFont val="WenQuanYi Zen Hei"/>
        <family val="2"/>
      </rPr>
      <t xml:space="preserve">仕掛かり</t>
    </r>
    <r>
      <rPr>
        <sz val="10"/>
        <color rgb="FFC9D1D9"/>
        <rFont val="Meiryo UI"/>
        <family val="0"/>
        <charset val="1"/>
      </rPr>
      <t xml:space="preserve">(</t>
    </r>
    <r>
      <rPr>
        <sz val="10"/>
        <color rgb="FFC9D1D9"/>
        <rFont val="WenQuanYi Zen Hei"/>
        <family val="2"/>
      </rPr>
      <t xml:space="preserve">未着手</t>
    </r>
    <r>
      <rPr>
        <sz val="10"/>
        <color rgb="FFC9D1D9"/>
        <rFont val="Meiryo UI"/>
        <family val="0"/>
        <charset val="1"/>
      </rPr>
      <t xml:space="preserve">+</t>
    </r>
    <r>
      <rPr>
        <sz val="10"/>
        <color rgb="FFC9D1D9"/>
        <rFont val="WenQuanYi Zen Hei"/>
        <family val="2"/>
      </rPr>
      <t xml:space="preserve">進行中</t>
    </r>
    <r>
      <rPr>
        <sz val="10"/>
        <color rgb="FFC9D1D9"/>
        <rFont val="Meiryo UI"/>
        <family val="0"/>
        <charset val="1"/>
      </rPr>
      <t xml:space="preserve">+</t>
    </r>
    <r>
      <rPr>
        <sz val="10"/>
        <color rgb="FFC9D1D9"/>
        <rFont val="WenQuanYi Zen Hei"/>
        <family val="2"/>
      </rPr>
      <t xml:space="preserve">レビュー待ち</t>
    </r>
    <r>
      <rPr>
        <sz val="10"/>
        <color rgb="FFC9D1D9"/>
        <rFont val="Meiryo UI"/>
        <family val="0"/>
        <charset val="1"/>
      </rPr>
      <t xml:space="preserve">)</t>
    </r>
    <r>
      <rPr>
        <sz val="10"/>
        <color rgb="FFC9D1D9"/>
        <rFont val="WenQuanYi Zen Hei"/>
        <family val="2"/>
      </rPr>
      <t xml:space="preserve">は</t>
    </r>
    <r>
      <rPr>
        <sz val="10"/>
        <color rgb="FFC9D1D9"/>
        <rFont val="Meiryo UI"/>
        <family val="0"/>
        <charset val="1"/>
      </rPr>
      <t xml:space="preserve">1</t>
    </r>
    <r>
      <rPr>
        <sz val="10"/>
        <color rgb="FFC9D1D9"/>
        <rFont val="WenQuanYi Zen Hei"/>
        <family val="2"/>
      </rPr>
      <t xml:space="preserve">人</t>
    </r>
    <r>
      <rPr>
        <sz val="10"/>
        <color rgb="FFC9D1D9"/>
        <rFont val="Meiryo UI"/>
        <family val="0"/>
        <charset val="1"/>
      </rPr>
      <t xml:space="preserve">3</t>
    </r>
    <r>
      <rPr>
        <sz val="10"/>
        <color rgb="FFC9D1D9"/>
        <rFont val="WenQuanYi Zen Hei"/>
        <family val="2"/>
      </rPr>
      <t xml:space="preserve">件まで</t>
    </r>
  </si>
  <si>
    <r>
      <rPr>
        <sz val="10"/>
        <color rgb="FFC9D1D9"/>
        <rFont val="Meiryo UI"/>
        <family val="0"/>
        <charset val="1"/>
      </rPr>
      <t xml:space="preserve">6. </t>
    </r>
    <r>
      <rPr>
        <sz val="10"/>
        <color rgb="FFC9D1D9"/>
        <rFont val="WenQuanYi Zen Hei"/>
        <family val="2"/>
      </rPr>
      <t xml:space="preserve">進捗</t>
    </r>
    <r>
      <rPr>
        <sz val="10"/>
        <color rgb="FFC9D1D9"/>
        <rFont val="Meiryo UI"/>
        <family val="0"/>
        <charset val="1"/>
      </rPr>
      <t xml:space="preserve">%</t>
    </r>
    <r>
      <rPr>
        <sz val="10"/>
        <color rgb="FFC9D1D9"/>
        <rFont val="WenQuanYi Zen Hei"/>
        <family val="2"/>
      </rPr>
      <t xml:space="preserve">は毎夕更新。ガントの▶</t>
    </r>
    <r>
      <rPr>
        <sz val="10"/>
        <color rgb="FFC9D1D9"/>
        <rFont val="Meiryo UI"/>
        <family val="0"/>
        <charset val="1"/>
      </rPr>
      <t xml:space="preserve">(</t>
    </r>
    <r>
      <rPr>
        <sz val="10"/>
        <color rgb="FFC9D1D9"/>
        <rFont val="WenQuanYi Zen Hei"/>
        <family val="2"/>
      </rPr>
      <t xml:space="preserve">赤</t>
    </r>
    <r>
      <rPr>
        <sz val="10"/>
        <color rgb="FFC9D1D9"/>
        <rFont val="Meiryo UI"/>
        <family val="0"/>
        <charset val="1"/>
      </rPr>
      <t xml:space="preserve">)</t>
    </r>
    <r>
      <rPr>
        <sz val="10"/>
        <color rgb="FFC9D1D9"/>
        <rFont val="WenQuanYi Zen Hei"/>
        <family val="2"/>
      </rPr>
      <t xml:space="preserve">が今日線より左なら遅れ</t>
    </r>
    <r>
      <rPr>
        <sz val="10"/>
        <color rgb="FFC9D1D9"/>
        <rFont val="Meiryo UI"/>
        <family val="0"/>
        <charset val="1"/>
      </rPr>
      <t xml:space="preserve">=</t>
    </r>
    <r>
      <rPr>
        <sz val="10"/>
        <color rgb="FFC9D1D9"/>
        <rFont val="WenQuanYi Zen Hei"/>
        <family val="2"/>
      </rPr>
      <t xml:space="preserve">朝会で相談</t>
    </r>
  </si>
  <si>
    <r>
      <rPr>
        <sz val="10"/>
        <color rgb="FFC9D1D9"/>
        <rFont val="Meiryo UI"/>
        <family val="0"/>
        <charset val="1"/>
      </rPr>
      <t xml:space="preserve">7. </t>
    </r>
    <r>
      <rPr>
        <sz val="10"/>
        <color rgb="FFC9D1D9"/>
        <rFont val="WenQuanYi Zen Hei"/>
        <family val="2"/>
      </rPr>
      <t xml:space="preserve">ダイジェストメール</t>
    </r>
    <r>
      <rPr>
        <sz val="10"/>
        <color rgb="FFC9D1D9"/>
        <rFont val="Meiryo UI"/>
        <family val="0"/>
        <charset val="1"/>
      </rPr>
      <t xml:space="preserve">: </t>
    </r>
    <r>
      <rPr>
        <sz val="10"/>
        <color rgb="FFC9D1D9"/>
        <rFont val="WenQuanYi Zen Hei"/>
        <family val="2"/>
      </rPr>
      <t xml:space="preserve">手動</t>
    </r>
    <r>
      <rPr>
        <sz val="10"/>
        <color rgb="FFC9D1D9"/>
        <rFont val="Meiryo UI"/>
        <family val="0"/>
        <charset val="1"/>
      </rPr>
      <t xml:space="preserve">=Alt+F8→SendDigest / </t>
    </r>
    <r>
      <rPr>
        <sz val="10"/>
        <color rgb="FFC9D1D9"/>
        <rFont val="WenQuanYi Zen Hei"/>
        <family val="2"/>
      </rPr>
      <t xml:space="preserve">自動</t>
    </r>
    <r>
      <rPr>
        <sz val="10"/>
        <color rgb="FFC9D1D9"/>
        <rFont val="Meiryo UI"/>
        <family val="0"/>
        <charset val="1"/>
      </rPr>
      <t xml:space="preserve">=</t>
    </r>
    <r>
      <rPr>
        <sz val="10"/>
        <color rgb="FFC9D1D9"/>
        <rFont val="WenQuanYi Zen Hei"/>
        <family val="2"/>
      </rPr>
      <t xml:space="preserve">設定シートで</t>
    </r>
    <r>
      <rPr>
        <sz val="10"/>
        <color rgb="FFC9D1D9"/>
        <rFont val="Meiryo UI"/>
        <family val="0"/>
        <charset val="1"/>
      </rPr>
      <t xml:space="preserve">ON</t>
    </r>
  </si>
  <si>
    <t xml:space="preserve">root@team:~# ./workload --monthly</t>
  </si>
  <si>
    <r>
      <rPr>
        <sz val="9"/>
        <color rgb="FF6E7681"/>
        <rFont val="WenQuanYi Zen Hei"/>
        <family val="2"/>
      </rPr>
      <t xml:space="preserve">予定</t>
    </r>
    <r>
      <rPr>
        <sz val="9"/>
        <color rgb="FF6E7681"/>
        <rFont val="Meiryo UI"/>
        <family val="0"/>
        <charset val="1"/>
      </rPr>
      <t xml:space="preserve">(PLAN)</t>
    </r>
    <r>
      <rPr>
        <sz val="9"/>
        <color rgb="FF6E7681"/>
        <rFont val="WenQuanYi Zen Hei"/>
        <family val="2"/>
      </rPr>
      <t xml:space="preserve">ブロックだけ入力。実績</t>
    </r>
    <r>
      <rPr>
        <sz val="9"/>
        <color rgb="FF6E7681"/>
        <rFont val="Meiryo UI"/>
        <family val="0"/>
        <charset val="1"/>
      </rPr>
      <t xml:space="preserve">(ACTUAL)</t>
    </r>
    <r>
      <rPr>
        <sz val="9"/>
        <color rgb="FF6E7681"/>
        <rFont val="WenQuanYi Zen Hei"/>
        <family val="2"/>
      </rPr>
      <t xml:space="preserve">と</t>
    </r>
    <r>
      <rPr>
        <sz val="9"/>
        <color rgb="FF6E7681"/>
        <rFont val="Meiryo UI"/>
        <family val="0"/>
        <charset val="1"/>
      </rPr>
      <t xml:space="preserve">GAP</t>
    </r>
    <r>
      <rPr>
        <sz val="9"/>
        <color rgb="FF6E7681"/>
        <rFont val="WenQuanYi Zen Hei"/>
        <family val="2"/>
      </rPr>
      <t xml:space="preserve">は工数ログから自動集計。</t>
    </r>
  </si>
  <si>
    <t xml:space="preserve">集計開始月→</t>
  </si>
  <si>
    <r>
      <rPr>
        <b val="true"/>
        <sz val="10"/>
        <color rgb="FF00E676"/>
        <rFont val="WenQuanYi Zen Hei"/>
        <family val="2"/>
      </rPr>
      <t xml:space="preserve">案件 </t>
    </r>
    <r>
      <rPr>
        <b val="true"/>
        <sz val="10"/>
        <color rgb="FF00E676"/>
        <rFont val="Meiryo UI"/>
        <family val="0"/>
        <charset val="1"/>
      </rPr>
      <t xml:space="preserve">/ PLAN (h) ※</t>
    </r>
    <r>
      <rPr>
        <b val="true"/>
        <sz val="10"/>
        <color rgb="FF00E676"/>
        <rFont val="WenQuanYi Zen Hei"/>
        <family val="2"/>
      </rPr>
      <t xml:space="preserve">入力</t>
    </r>
  </si>
  <si>
    <r>
      <rPr>
        <b val="true"/>
        <sz val="10"/>
        <color rgb="FF00E676"/>
        <rFont val="WenQuanYi Zen Hei"/>
        <family val="2"/>
      </rPr>
      <t xml:space="preserve">案件 </t>
    </r>
    <r>
      <rPr>
        <b val="true"/>
        <sz val="10"/>
        <color rgb="FF00E676"/>
        <rFont val="Meiryo UI"/>
        <family val="0"/>
        <charset val="1"/>
      </rPr>
      <t xml:space="preserve">/ ACTUAL (h) </t>
    </r>
    <r>
      <rPr>
        <b val="true"/>
        <sz val="10"/>
        <color rgb="FF00E676"/>
        <rFont val="WenQuanYi Zen Hei"/>
        <family val="2"/>
      </rPr>
      <t xml:space="preserve">自動</t>
    </r>
  </si>
  <si>
    <r>
      <rPr>
        <b val="true"/>
        <sz val="10"/>
        <color rgb="FF00E676"/>
        <rFont val="WenQuanYi Zen Hei"/>
        <family val="2"/>
      </rPr>
      <t xml:space="preserve">案件 </t>
    </r>
    <r>
      <rPr>
        <b val="true"/>
        <sz val="10"/>
        <color rgb="FF00E676"/>
        <rFont val="Meiryo UI"/>
        <family val="0"/>
        <charset val="1"/>
      </rPr>
      <t xml:space="preserve">/ GAP = </t>
    </r>
    <r>
      <rPr>
        <b val="true"/>
        <sz val="10"/>
        <color rgb="FF00E676"/>
        <rFont val="WenQuanYi Zen Hei"/>
        <family val="2"/>
      </rPr>
      <t xml:space="preserve">実績</t>
    </r>
    <r>
      <rPr>
        <b val="true"/>
        <sz val="10"/>
        <color rgb="FF00E676"/>
        <rFont val="Meiryo UI"/>
        <family val="0"/>
        <charset val="1"/>
      </rPr>
      <t xml:space="preserve">-</t>
    </r>
    <r>
      <rPr>
        <b val="true"/>
        <sz val="10"/>
        <color rgb="FF00E676"/>
        <rFont val="WenQuanYi Zen Hei"/>
        <family val="2"/>
      </rPr>
      <t xml:space="preserve">予定 </t>
    </r>
    <r>
      <rPr>
        <b val="true"/>
        <sz val="10"/>
        <color rgb="FF00E676"/>
        <rFont val="Meiryo UI"/>
        <family val="0"/>
        <charset val="1"/>
      </rPr>
      <t xml:space="preserve">(h) </t>
    </r>
    <r>
      <rPr>
        <b val="true"/>
        <sz val="10"/>
        <color rgb="FF00E676"/>
        <rFont val="WenQuanYi Zen Hei"/>
        <family val="2"/>
      </rPr>
      <t xml:space="preserve">自動</t>
    </r>
  </si>
  <si>
    <r>
      <rPr>
        <b val="true"/>
        <sz val="10"/>
        <color rgb="FF00E676"/>
        <rFont val="WenQuanYi Zen Hei"/>
        <family val="2"/>
      </rPr>
      <t xml:space="preserve">メンバー </t>
    </r>
    <r>
      <rPr>
        <b val="true"/>
        <sz val="10"/>
        <color rgb="FF00E676"/>
        <rFont val="Meiryo UI"/>
        <family val="0"/>
        <charset val="1"/>
      </rPr>
      <t xml:space="preserve">/ ACTUAL (h) </t>
    </r>
    <r>
      <rPr>
        <b val="true"/>
        <sz val="10"/>
        <color rgb="FF00E676"/>
        <rFont val="WenQuanYi Zen Hei"/>
        <family val="2"/>
      </rPr>
      <t xml:space="preserve">自動</t>
    </r>
  </si>
  <si>
    <t xml:space="preserve">root@team:~# ./timelog --append</t>
  </si>
  <si>
    <r>
      <rPr>
        <sz val="9"/>
        <color rgb="FF6E7681"/>
        <rFont val="WenQuanYi Zen Hei"/>
        <family val="2"/>
      </rPr>
      <t xml:space="preserve">毎日の作業時間をここに追記</t>
    </r>
    <r>
      <rPr>
        <sz val="9"/>
        <color rgb="FF6E7681"/>
        <rFont val="Meiryo UI"/>
        <family val="0"/>
        <charset val="1"/>
      </rPr>
      <t xml:space="preserve">(1</t>
    </r>
    <r>
      <rPr>
        <sz val="9"/>
        <color rgb="FF6E7681"/>
        <rFont val="WenQuanYi Zen Hei"/>
        <family val="2"/>
      </rPr>
      <t xml:space="preserve">作業</t>
    </r>
    <r>
      <rPr>
        <sz val="9"/>
        <color rgb="FF6E7681"/>
        <rFont val="Meiryo UI"/>
        <family val="0"/>
        <charset val="1"/>
      </rPr>
      <t xml:space="preserve">1</t>
    </r>
    <r>
      <rPr>
        <sz val="9"/>
        <color rgb="FF6E7681"/>
        <rFont val="WenQuanYi Zen Hei"/>
        <family val="2"/>
      </rPr>
      <t xml:space="preserve">行</t>
    </r>
    <r>
      <rPr>
        <sz val="9"/>
        <color rgb="FF6E7681"/>
        <rFont val="Meiryo UI"/>
        <family val="0"/>
        <charset val="1"/>
      </rPr>
      <t xml:space="preserve">)</t>
    </r>
    <r>
      <rPr>
        <sz val="9"/>
        <color rgb="FF6E7681"/>
        <rFont val="WenQuanYi Zen Hei"/>
        <family val="2"/>
      </rPr>
      <t xml:space="preserve">。タスク</t>
    </r>
    <r>
      <rPr>
        <sz val="9"/>
        <color rgb="FF6E7681"/>
        <rFont val="Meiryo UI"/>
        <family val="0"/>
        <charset val="1"/>
      </rPr>
      <t xml:space="preserve">No</t>
    </r>
    <r>
      <rPr>
        <sz val="9"/>
        <color rgb="FF6E7681"/>
        <rFont val="WenQuanYi Zen Hei"/>
        <family val="2"/>
      </rPr>
      <t xml:space="preserve">はタスクシートの</t>
    </r>
    <r>
      <rPr>
        <sz val="9"/>
        <color rgb="FF6E7681"/>
        <rFont val="Meiryo UI"/>
        <family val="0"/>
        <charset val="1"/>
      </rPr>
      <t xml:space="preserve">No</t>
    </r>
    <r>
      <rPr>
        <sz val="9"/>
        <color rgb="FF6E7681"/>
        <rFont val="WenQuanYi Zen Hei"/>
        <family val="2"/>
      </rPr>
      <t xml:space="preserve">列。タスク行は削除すると</t>
    </r>
    <r>
      <rPr>
        <sz val="9"/>
        <color rgb="FF6E7681"/>
        <rFont val="Meiryo UI"/>
        <family val="0"/>
        <charset val="1"/>
      </rPr>
      <t xml:space="preserve">No</t>
    </r>
    <r>
      <rPr>
        <sz val="9"/>
        <color rgb="FF6E7681"/>
        <rFont val="WenQuanYi Zen Hei"/>
        <family val="2"/>
      </rPr>
      <t xml:space="preserve">がずれるので、削除せず「完了」にすること。</t>
    </r>
  </si>
  <si>
    <t xml:space="preserve">日付</t>
  </si>
  <si>
    <t xml:space="preserve">名前</t>
  </si>
  <si>
    <r>
      <rPr>
        <b val="true"/>
        <sz val="10"/>
        <color rgb="FF00E676"/>
        <rFont val="WenQuanYi Zen Hei"/>
        <family val="2"/>
      </rPr>
      <t xml:space="preserve">タスク</t>
    </r>
    <r>
      <rPr>
        <b val="true"/>
        <sz val="10"/>
        <color rgb="FF00E676"/>
        <rFont val="Meiryo UI"/>
        <family val="0"/>
        <charset val="1"/>
      </rPr>
      <t xml:space="preserve">No(</t>
    </r>
    <r>
      <rPr>
        <b val="true"/>
        <sz val="10"/>
        <color rgb="FF00E676"/>
        <rFont val="WenQuanYi Zen Hei"/>
        <family val="2"/>
      </rPr>
      <t xml:space="preserve">任意</t>
    </r>
    <r>
      <rPr>
        <b val="true"/>
        <sz val="10"/>
        <color rgb="FF00E676"/>
        <rFont val="Meiryo UI"/>
        <family val="0"/>
        <charset val="1"/>
      </rPr>
      <t xml:space="preserve">)</t>
    </r>
  </si>
  <si>
    <r>
      <rPr>
        <b val="true"/>
        <sz val="10"/>
        <color rgb="FF00E676"/>
        <rFont val="WenQuanYi Zen Hei"/>
        <family val="2"/>
      </rPr>
      <t xml:space="preserve">時間</t>
    </r>
    <r>
      <rPr>
        <b val="true"/>
        <sz val="10"/>
        <color rgb="FF00E676"/>
        <rFont val="Meiryo UI"/>
        <family val="0"/>
        <charset val="1"/>
      </rPr>
      <t xml:space="preserve">h</t>
    </r>
  </si>
  <si>
    <t xml:space="preserve">レビュー指摘対応</t>
  </si>
  <si>
    <t xml:space="preserve">root@team:~# ./projects --register</t>
  </si>
  <si>
    <r>
      <rPr>
        <sz val="9"/>
        <color rgb="FF6E7681"/>
        <rFont val="WenQuanYi Zen Hei"/>
        <family val="2"/>
      </rPr>
      <t xml:space="preserve">顧客と案件をここに登録するとタスク・工数ログのプルダウンとサマリ・月次工数に反映される</t>
    </r>
    <r>
      <rPr>
        <sz val="9"/>
        <color rgb="FF6E7681"/>
        <rFont val="Meiryo UI"/>
        <family val="0"/>
        <charset val="1"/>
      </rPr>
      <t xml:space="preserve">(20</t>
    </r>
    <r>
      <rPr>
        <sz val="9"/>
        <color rgb="FF6E7681"/>
        <rFont val="WenQuanYi Zen Hei"/>
        <family val="2"/>
      </rPr>
      <t xml:space="preserve">枠</t>
    </r>
    <r>
      <rPr>
        <sz val="9"/>
        <color rgb="FF6E7681"/>
        <rFont val="Meiryo UI"/>
        <family val="0"/>
        <charset val="1"/>
      </rPr>
      <t xml:space="preserve">)</t>
    </r>
    <r>
      <rPr>
        <sz val="9"/>
        <color rgb="FF6E7681"/>
        <rFont val="WenQuanYi Zen Hei"/>
        <family val="2"/>
      </rPr>
      <t xml:space="preserve">。案件名は重複不可。</t>
    </r>
  </si>
  <si>
    <t xml:space="preserve">顧客名</t>
  </si>
  <si>
    <t xml:space="preserve">案件名</t>
  </si>
  <si>
    <t xml:space="preserve">備考</t>
  </si>
  <si>
    <r>
      <rPr>
        <sz val="10"/>
        <color rgb="FFC9D1D9"/>
        <rFont val="Meiryo UI"/>
        <family val="0"/>
        <charset val="1"/>
      </rPr>
      <t xml:space="preserve">A</t>
    </r>
    <r>
      <rPr>
        <sz val="10"/>
        <color rgb="FFC9D1D9"/>
        <rFont val="WenQuanYi Zen Hei"/>
        <family val="2"/>
      </rPr>
      <t xml:space="preserve">社</t>
    </r>
  </si>
  <si>
    <r>
      <rPr>
        <sz val="10"/>
        <color rgb="FFC9D1D9"/>
        <rFont val="Meiryo UI"/>
        <family val="0"/>
        <charset val="1"/>
      </rPr>
      <t xml:space="preserve">B</t>
    </r>
    <r>
      <rPr>
        <sz val="10"/>
        <color rgb="FFC9D1D9"/>
        <rFont val="WenQuanYi Zen Hei"/>
        <family val="2"/>
      </rPr>
      <t xml:space="preserve">社</t>
    </r>
  </si>
  <si>
    <t xml:space="preserve">root@team:~# ./config</t>
  </si>
  <si>
    <r>
      <rPr>
        <sz val="9"/>
        <color rgb="FF6E7681"/>
        <rFont val="WenQuanYi Zen Hei"/>
        <family val="2"/>
      </rPr>
      <t xml:space="preserve">薄い青灰色のセルに入力。メンバーは上から詰めて記入</t>
    </r>
    <r>
      <rPr>
        <sz val="9"/>
        <color rgb="FF6E7681"/>
        <rFont val="Meiryo UI"/>
        <family val="0"/>
        <charset val="1"/>
      </rPr>
      <t xml:space="preserve">(10</t>
    </r>
    <r>
      <rPr>
        <sz val="9"/>
        <color rgb="FF6E7681"/>
        <rFont val="WenQuanYi Zen Hei"/>
        <family val="2"/>
      </rPr>
      <t xml:space="preserve">枠</t>
    </r>
    <r>
      <rPr>
        <sz val="9"/>
        <color rgb="FF6E7681"/>
        <rFont val="Meiryo UI"/>
        <family val="0"/>
        <charset val="1"/>
      </rPr>
      <t xml:space="preserve">)</t>
    </r>
    <r>
      <rPr>
        <sz val="9"/>
        <color rgb="FF6E7681"/>
        <rFont val="WenQuanYi Zen Hei"/>
        <family val="2"/>
      </rPr>
      <t xml:space="preserve">。</t>
    </r>
  </si>
  <si>
    <t xml:space="preserve">メールアドレス</t>
  </si>
  <si>
    <t xml:space="preserve">役割</t>
  </si>
  <si>
    <t xml:space="preserve">&gt; MAIL CONFIG</t>
  </si>
  <si>
    <t xml:space="preserve">shinjin-a@example.co.jp</t>
  </si>
  <si>
    <t xml:space="preserve">新人</t>
  </si>
  <si>
    <r>
      <rPr>
        <b val="true"/>
        <sz val="10"/>
        <color rgb="FFC9D1D9"/>
        <rFont val="WenQuanYi Zen Hei"/>
        <family val="2"/>
      </rPr>
      <t xml:space="preserve">自動配信</t>
    </r>
    <r>
      <rPr>
        <b val="true"/>
        <sz val="10"/>
        <color rgb="FFC9D1D9"/>
        <rFont val="Meiryo UI"/>
        <family val="0"/>
        <charset val="1"/>
      </rPr>
      <t xml:space="preserve">(</t>
    </r>
    <r>
      <rPr>
        <b val="true"/>
        <sz val="10"/>
        <color rgb="FFC9D1D9"/>
        <rFont val="WenQuanYi Zen Hei"/>
        <family val="2"/>
      </rPr>
      <t xml:space="preserve">ブックを開いた時</t>
    </r>
    <r>
      <rPr>
        <b val="true"/>
        <sz val="10"/>
        <color rgb="FFC9D1D9"/>
        <rFont val="Meiryo UI"/>
        <family val="0"/>
        <charset val="1"/>
      </rPr>
      <t xml:space="preserve">)</t>
    </r>
  </si>
  <si>
    <t xml:space="preserve">OFF</t>
  </si>
  <si>
    <r>
      <rPr>
        <sz val="9"/>
        <color rgb="FF6E7681"/>
        <rFont val="Meiryo UI"/>
        <family val="0"/>
        <charset val="1"/>
      </rPr>
      <t xml:space="preserve">ON</t>
    </r>
    <r>
      <rPr>
        <sz val="9"/>
        <color rgb="FF6E7681"/>
        <rFont val="WenQuanYi Zen Hei"/>
        <family val="2"/>
      </rPr>
      <t xml:space="preserve">にすると、その日最初にブックを開いた人の</t>
    </r>
    <r>
      <rPr>
        <sz val="9"/>
        <color rgb="FF6E7681"/>
        <rFont val="Meiryo UI"/>
        <family val="0"/>
        <charset val="1"/>
      </rPr>
      <t xml:space="preserve">Outlook</t>
    </r>
    <r>
      <rPr>
        <sz val="9"/>
        <color rgb="FF6E7681"/>
        <rFont val="WenQuanYi Zen Hei"/>
        <family val="2"/>
      </rPr>
      <t xml:space="preserve">から送信される</t>
    </r>
  </si>
  <si>
    <t xml:space="preserve">shinjin-b@example.co.jp</t>
  </si>
  <si>
    <t xml:space="preserve">送信モード</t>
  </si>
  <si>
    <t xml:space="preserve">下書き表示</t>
  </si>
  <si>
    <t xml:space="preserve">「下書き表示」は送信前にメールが画面に出るので確認してから送れる</t>
  </si>
  <si>
    <r>
      <rPr>
        <sz val="10"/>
        <color rgb="FFC9D1D9"/>
        <rFont val="WenQuanYi Zen Hei"/>
        <family val="2"/>
      </rPr>
      <t xml:space="preserve">メンター</t>
    </r>
    <r>
      <rPr>
        <sz val="10"/>
        <color rgb="FFC9D1D9"/>
        <rFont val="Meiryo UI"/>
        <family val="0"/>
        <charset val="1"/>
      </rPr>
      <t xml:space="preserve">X</t>
    </r>
  </si>
  <si>
    <t xml:space="preserve">mentor-x@example.co.jp</t>
  </si>
  <si>
    <t xml:space="preserve">メンター</t>
  </si>
  <si>
    <r>
      <rPr>
        <b val="true"/>
        <sz val="10"/>
        <color rgb="FFC9D1D9"/>
        <rFont val="WenQuanYi Zen Hei"/>
        <family val="2"/>
      </rPr>
      <t xml:space="preserve">追加宛先</t>
    </r>
    <r>
      <rPr>
        <b val="true"/>
        <sz val="10"/>
        <color rgb="FFC9D1D9"/>
        <rFont val="Meiryo UI"/>
        <family val="0"/>
        <charset val="1"/>
      </rPr>
      <t xml:space="preserve">(</t>
    </r>
    <r>
      <rPr>
        <b val="true"/>
        <sz val="10"/>
        <color rgb="FFC9D1D9"/>
        <rFont val="WenQuanYi Zen Hei"/>
        <family val="2"/>
      </rPr>
      <t xml:space="preserve">任意</t>
    </r>
    <r>
      <rPr>
        <b val="true"/>
        <sz val="10"/>
        <color rgb="FFC9D1D9"/>
        <rFont val="Meiryo UI"/>
        <family val="0"/>
        <charset val="1"/>
      </rPr>
      <t xml:space="preserve">)</t>
    </r>
  </si>
  <si>
    <r>
      <rPr>
        <sz val="9"/>
        <color rgb="FF6E7681"/>
        <rFont val="WenQuanYi Zen Hei"/>
        <family val="2"/>
      </rPr>
      <t xml:space="preserve">チーム</t>
    </r>
    <r>
      <rPr>
        <sz val="9"/>
        <color rgb="FF6E7681"/>
        <rFont val="Meiryo UI"/>
        <family val="0"/>
        <charset val="1"/>
      </rPr>
      <t xml:space="preserve">ML</t>
    </r>
    <r>
      <rPr>
        <sz val="9"/>
        <color rgb="FF6E7681"/>
        <rFont val="WenQuanYi Zen Hei"/>
        <family val="2"/>
      </rPr>
      <t xml:space="preserve">等。空欄なら設定シートの全メンバー宛</t>
    </r>
  </si>
  <si>
    <r>
      <rPr>
        <sz val="10"/>
        <color rgb="FFC9D1D9"/>
        <rFont val="WenQuanYi Zen Hei"/>
        <family val="2"/>
      </rPr>
      <t xml:space="preserve">リーダー</t>
    </r>
    <r>
      <rPr>
        <sz val="10"/>
        <color rgb="FFC9D1D9"/>
        <rFont val="Meiryo UI"/>
        <family val="0"/>
        <charset val="1"/>
      </rPr>
      <t xml:space="preserve">Y</t>
    </r>
  </si>
  <si>
    <t xml:space="preserve">leader-y@example.co.jp</t>
  </si>
  <si>
    <r>
      <rPr>
        <b val="true"/>
        <sz val="10"/>
        <color rgb="FFC9D1D9"/>
        <rFont val="WenQuanYi Zen Hei"/>
        <family val="2"/>
      </rPr>
      <t xml:space="preserve">最終送信日</t>
    </r>
    <r>
      <rPr>
        <b val="true"/>
        <sz val="10"/>
        <color rgb="FFC9D1D9"/>
        <rFont val="Meiryo UI"/>
        <family val="0"/>
        <charset val="1"/>
      </rPr>
      <t xml:space="preserve">(</t>
    </r>
    <r>
      <rPr>
        <b val="true"/>
        <sz val="10"/>
        <color rgb="FFC9D1D9"/>
        <rFont val="WenQuanYi Zen Hei"/>
        <family val="2"/>
      </rPr>
      <t xml:space="preserve">自動記入</t>
    </r>
    <r>
      <rPr>
        <b val="true"/>
        <sz val="10"/>
        <color rgb="FFC9D1D9"/>
        <rFont val="Meiryo UI"/>
        <family val="0"/>
        <charset val="1"/>
      </rPr>
      <t xml:space="preserve">)</t>
    </r>
  </si>
  <si>
    <t xml:space="preserve">マクロが記入。手で消せばその日もう一度自動配信される</t>
  </si>
  <si>
    <r>
      <rPr>
        <sz val="9"/>
        <color rgb="FF6E7681"/>
        <rFont val="WenQuanYi Zen Hei"/>
        <family val="2"/>
      </rPr>
      <t xml:space="preserve">状態リスト</t>
    </r>
    <r>
      <rPr>
        <sz val="9"/>
        <color rgb="FF6E7681"/>
        <rFont val="Meiryo UI"/>
        <family val="0"/>
        <charset val="1"/>
      </rPr>
      <t xml:space="preserve">(</t>
    </r>
    <r>
      <rPr>
        <sz val="9"/>
        <color rgb="FF6E7681"/>
        <rFont val="WenQuanYi Zen Hei"/>
        <family val="2"/>
      </rPr>
      <t xml:space="preserve">タスクのプルダウン元。変更非推奨</t>
    </r>
    <r>
      <rPr>
        <sz val="9"/>
        <color rgb="FF6E7681"/>
        <rFont val="Meiryo UI"/>
        <family val="0"/>
        <charset val="1"/>
      </rPr>
      <t xml:space="preserve">)</t>
    </r>
  </si>
  <si>
    <r>
      <rPr>
        <sz val="9"/>
        <color rgb="FF6E7681"/>
        <rFont val="WenQuanYi Zen Hei"/>
        <family val="2"/>
      </rPr>
      <t xml:space="preserve">※上の</t>
    </r>
    <r>
      <rPr>
        <sz val="9"/>
        <color rgb="FF6E7681"/>
        <rFont val="Meiryo UI"/>
        <family val="0"/>
        <charset val="1"/>
      </rPr>
      <t xml:space="preserve">4</t>
    </r>
    <r>
      <rPr>
        <sz val="9"/>
        <color rgb="FF6E7681"/>
        <rFont val="WenQuanYi Zen Hei"/>
        <family val="2"/>
      </rPr>
      <t xml:space="preserve">行は記入例。実際のメンバーに書き換える。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</si>
</sst>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yyyy/mm/dd"/>
    <numFmt numFmtId="167" formatCode="0%"/>
    <numFmt numFmtId="168" formatCode="0.0"/>
    <numFmt numFmtId="169" formatCode="d"/>
    <numFmt numFmtId="170" formatCode="m/d"/>
    <numFmt numFmtId="171" formatCode="yyyy/mm"/>
    <numFmt numFmtId="172" formatCode="yyyy/m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E676"/>
      <name val="Consolas"/>
      <family val="0"/>
      <charset val="1"/>
    </font>
    <font>
      <sz val="9"/>
      <color rgb="FF6E7681"/>
      <name val="WenQuanYi Zen Hei"/>
      <family val="2"/>
    </font>
    <font>
      <sz val="9"/>
      <color rgb="FF6E7681"/>
      <name val="Meiryo UI"/>
      <family val="0"/>
      <charset val="1"/>
    </font>
    <font>
      <b val="true"/>
      <sz val="10"/>
      <color rgb="FF00E676"/>
      <name val="Meiryo UI"/>
      <family val="0"/>
      <charset val="1"/>
    </font>
    <font>
      <b val="true"/>
      <sz val="10"/>
      <color rgb="FF00E676"/>
      <name val="WenQuanYi Zen Hei"/>
      <family val="2"/>
    </font>
    <font>
      <sz val="10"/>
      <color rgb="FF6E7681"/>
      <name val="Consolas"/>
      <family val="0"/>
      <charset val="1"/>
    </font>
    <font>
      <sz val="10"/>
      <color rgb="FF4DD0E1"/>
      <name val="Meiryo UI"/>
      <family val="0"/>
      <charset val="1"/>
    </font>
    <font>
      <sz val="10"/>
      <color rgb="FFC9D1D9"/>
      <name val="Meiryo UI"/>
      <family val="0"/>
      <charset val="1"/>
    </font>
    <font>
      <sz val="10"/>
      <color rgb="FFC9D1D9"/>
      <name val="WenQuanYi Zen Hei"/>
      <family val="2"/>
    </font>
    <font>
      <sz val="10"/>
      <color rgb="FFC9D1D9"/>
      <name val="Consolas"/>
      <family val="0"/>
      <charset val="1"/>
    </font>
    <font>
      <sz val="10"/>
      <color rgb="FF00E676"/>
      <name val="Consolas"/>
      <family val="0"/>
      <charset val="1"/>
    </font>
    <font>
      <sz val="9"/>
      <color rgb="FFC9D1D9"/>
      <name val="WenQuanYi Zen Hei"/>
      <family val="2"/>
    </font>
    <font>
      <sz val="9"/>
      <color rgb="FF000000"/>
      <name val="WenQuanYi Zen Hei"/>
      <family val="2"/>
    </font>
    <font>
      <sz val="9"/>
      <color rgb="FFFFFFFF"/>
      <name val="WenQuanYi Zen Hei"/>
      <family val="2"/>
    </font>
    <font>
      <sz val="9"/>
      <color rgb="FFFFD740"/>
      <name val="WenQuanYi Zen Hei"/>
      <family val="2"/>
    </font>
    <font>
      <sz val="9"/>
      <color rgb="FFFFD740"/>
      <name val="Meiryo UI"/>
      <family val="0"/>
      <charset val="1"/>
    </font>
    <font>
      <b val="true"/>
      <sz val="8"/>
      <color rgb="FF00E676"/>
      <name val="Consolas"/>
      <family val="0"/>
      <charset val="1"/>
    </font>
    <font>
      <sz val="8"/>
      <color rgb="FF6E7681"/>
      <name val="Consolas"/>
      <family val="0"/>
      <charset val="1"/>
    </font>
    <font>
      <sz val="9"/>
      <color rgb="FFC9D1D9"/>
      <name val="Meiryo UI"/>
      <family val="0"/>
      <charset val="1"/>
    </font>
    <font>
      <b val="true"/>
      <sz val="9"/>
      <color rgb="FFFF5252"/>
      <name val="Consolas"/>
      <family val="0"/>
      <charset val="1"/>
    </font>
    <font>
      <b val="true"/>
      <sz val="9"/>
      <color rgb="FFFFD740"/>
      <name val="Consolas"/>
      <family val="0"/>
      <charset val="1"/>
    </font>
    <font>
      <b val="true"/>
      <sz val="9"/>
      <color rgb="FF4DD0E1"/>
      <name val="Consolas"/>
      <family val="0"/>
      <charset val="1"/>
    </font>
    <font>
      <b val="true"/>
      <sz val="9"/>
      <color rgb="FFFF8A65"/>
      <name val="Consolas"/>
      <family val="0"/>
      <charset val="1"/>
    </font>
    <font>
      <b val="true"/>
      <sz val="9"/>
      <color rgb="FF00E676"/>
      <name val="Consolas"/>
      <family val="0"/>
      <charset val="1"/>
    </font>
    <font>
      <b val="true"/>
      <sz val="9"/>
      <color rgb="FF00E676"/>
      <name val="WenQuanYi Zen Hei"/>
      <family val="2"/>
    </font>
    <font>
      <b val="true"/>
      <sz val="18"/>
      <color rgb="FFFF5252"/>
      <name val="Consolas"/>
      <family val="0"/>
      <charset val="1"/>
    </font>
    <font>
      <b val="true"/>
      <sz val="18"/>
      <color rgb="FFFFD740"/>
      <name val="Consolas"/>
      <family val="0"/>
      <charset val="1"/>
    </font>
    <font>
      <b val="true"/>
      <sz val="18"/>
      <color rgb="FF4DD0E1"/>
      <name val="Consolas"/>
      <family val="0"/>
      <charset val="1"/>
    </font>
    <font>
      <b val="true"/>
      <sz val="18"/>
      <color rgb="FFFF8A65"/>
      <name val="Consolas"/>
      <family val="0"/>
      <charset val="1"/>
    </font>
    <font>
      <b val="true"/>
      <sz val="18"/>
      <color rgb="FF00E676"/>
      <name val="Consolas"/>
      <family val="0"/>
      <charset val="1"/>
    </font>
    <font>
      <b val="true"/>
      <sz val="12"/>
      <color rgb="FF00E676"/>
      <name val="Consolas"/>
      <family val="0"/>
      <charset val="1"/>
    </font>
    <font>
      <sz val="9"/>
      <color rgb="FF4DD0E1"/>
      <name val="Meiryo UI"/>
      <family val="0"/>
      <charset val="1"/>
    </font>
    <font>
      <sz val="9"/>
      <color rgb="FF00E676"/>
      <name val="Consolas"/>
      <family val="0"/>
      <charset val="1"/>
    </font>
    <font>
      <sz val="9"/>
      <color rgb="FFC9D1D9"/>
      <name val="Consolas"/>
      <family val="0"/>
      <charset val="1"/>
    </font>
    <font>
      <b val="true"/>
      <sz val="10"/>
      <color rgb="FFC9D1D9"/>
      <name val="WenQuanYi Zen Hei"/>
      <family val="2"/>
    </font>
    <font>
      <b val="true"/>
      <sz val="10"/>
      <color rgb="FFC9D1D9"/>
      <name val="Meiryo U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000000"/>
        <bgColor rgb="FF0D1117"/>
      </patternFill>
    </fill>
    <fill>
      <patternFill patternType="solid">
        <fgColor rgb="FF161B22"/>
        <bgColor rgb="FF0D1117"/>
      </patternFill>
    </fill>
    <fill>
      <patternFill patternType="solid">
        <fgColor rgb="FF1C2733"/>
        <bgColor rgb="FF21262D"/>
      </patternFill>
    </fill>
    <fill>
      <patternFill patternType="solid">
        <fgColor rgb="FF1F4E5F"/>
        <bgColor rgb="FF30363D"/>
      </patternFill>
    </fill>
    <fill>
      <patternFill patternType="solid">
        <fgColor rgb="FF00C853"/>
        <bgColor rgb="FF00E676"/>
      </patternFill>
    </fill>
    <fill>
      <patternFill patternType="solid">
        <fgColor rgb="FFFF1744"/>
        <bgColor rgb="FFFF5252"/>
      </patternFill>
    </fill>
    <fill>
      <patternFill patternType="solid">
        <fgColor rgb="FF3A2E00"/>
        <bgColor rgb="FF21262D"/>
      </patternFill>
    </fill>
    <fill>
      <patternFill patternType="solid">
        <fgColor rgb="FF30363D"/>
        <bgColor rgb="FF21262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 diagonalUp="false" diagonalDown="false">
      <left style="hair">
        <color rgb="FF21262D"/>
      </left>
      <right style="hair">
        <color rgb="FF21262D"/>
      </right>
      <top style="hair">
        <color rgb="FF21262D"/>
      </top>
      <bottom style="hair">
        <color rgb="FF21262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2"/>
          <bgColor rgb="FF000000"/>
        </patternFill>
      </fill>
    </dxf>
    <dxf>
      <fill>
        <patternFill patternType="solid">
          <fgColor rgb="FF3A2E00"/>
          <bgColor rgb="FF000000"/>
        </patternFill>
      </fill>
    </dxf>
    <dxf>
      <fill>
        <patternFill patternType="solid">
          <fgColor rgb="FF3D0F14"/>
          <bgColor rgb="FF000000"/>
        </patternFill>
      </fill>
    </dxf>
    <dxf>
      <fill>
        <patternFill patternType="solid">
          <fgColor rgb="FF00E676"/>
          <bgColor rgb="FF000000"/>
        </patternFill>
      </fill>
    </dxf>
    <dxf>
      <fill>
        <patternFill patternType="solid">
          <fgColor rgb="FF4B5157"/>
          <bgColor rgb="FF000000"/>
        </patternFill>
      </fill>
    </dxf>
    <dxf>
      <fill>
        <patternFill patternType="solid">
          <fgColor rgb="FF6E7681"/>
          <bgColor rgb="FF000000"/>
        </patternFill>
      </fill>
    </dxf>
    <dxf>
      <fill>
        <patternFill patternType="solid">
          <fgColor rgb="FFFF5252"/>
          <bgColor rgb="FF000000"/>
        </patternFill>
      </fill>
    </dxf>
    <dxf>
      <fill>
        <patternFill patternType="solid">
          <fgColor rgb="FFFFD740"/>
          <bgColor rgb="FF000000"/>
        </patternFill>
      </fill>
    </dxf>
    <dxf>
      <fill>
        <patternFill patternType="solid">
          <fgColor rgb="FF4DD0E1"/>
          <bgColor rgb="FF000000"/>
        </patternFill>
      </fill>
    </dxf>
    <dxf>
      <fill>
        <patternFill patternType="solid">
          <fgColor rgb="FF1C2733"/>
          <bgColor rgb="FF000000"/>
        </patternFill>
      </fill>
    </dxf>
    <dxf>
      <fill>
        <patternFill patternType="solid">
          <fgColor rgb="FFC9D1D9"/>
          <bgColor rgb="FF000000"/>
        </patternFill>
      </fill>
    </dxf>
    <dxf>
      <font>
        <name val="Meiryo UI"/>
        <charset val="1"/>
        <family val="0"/>
        <color rgb="FF4B5157"/>
        <sz val="10"/>
      </font>
    </dxf>
    <dxf>
      <font>
        <name val="Meiryo UI"/>
        <charset val="1"/>
        <family val="0"/>
        <color rgb="FFFF5252"/>
        <sz val="10"/>
      </font>
      <fill>
        <patternFill>
          <bgColor rgb="FF3D0F14"/>
        </patternFill>
      </fill>
    </dxf>
    <dxf>
      <font>
        <name val="Meiryo UI"/>
        <charset val="1"/>
        <family val="0"/>
        <color rgb="FFFFD740"/>
        <sz val="10"/>
      </font>
      <fill>
        <patternFill>
          <bgColor rgb="FF3A2E00"/>
        </patternFill>
      </fill>
    </dxf>
    <dxf>
      <font>
        <name val="Meiryo UI"/>
        <charset val="1"/>
        <family val="0"/>
        <color rgb="FF4DD0E1"/>
        <sz val="10"/>
      </font>
      <fill>
        <patternFill>
          <bgColor rgb="FF0E2A33"/>
        </patternFill>
      </fill>
    </dxf>
    <dxf>
      <fill>
        <patternFill>
          <bgColor rgb="FF30363D"/>
        </patternFill>
      </fill>
    </dxf>
    <dxf>
      <fill>
        <patternFill>
          <bgColor rgb="FFFF1744"/>
        </patternFill>
      </fill>
    </dxf>
    <dxf>
      <fill>
        <patternFill>
          <bgColor rgb="FF00C853"/>
        </patternFill>
      </fill>
    </dxf>
    <dxf>
      <fill>
        <patternFill>
          <bgColor rgb="FF1F4E5F"/>
        </patternFill>
      </fill>
    </dxf>
    <dxf>
      <fill>
        <patternFill>
          <bgColor rgb="FF3A2E00"/>
        </patternFill>
      </fill>
    </dxf>
    <dxf>
      <font>
        <name val="Meiryo UI"/>
        <charset val="1"/>
        <family val="0"/>
        <b val="1"/>
        <color rgb="FFFF5252"/>
        <sz val="9"/>
      </font>
    </dxf>
    <dxf>
      <font>
        <name val="Meiryo UI"/>
        <charset val="1"/>
        <family val="0"/>
        <b val="1"/>
        <color rgb="FFFFD740"/>
        <sz val="9"/>
      </font>
    </dxf>
    <dxf>
      <font>
        <name val="Meiryo UI"/>
        <charset val="1"/>
        <family val="0"/>
        <b val="1"/>
        <color rgb="FFFF5252"/>
        <sz val="10"/>
      </font>
      <fill>
        <patternFill>
          <bgColor rgb="FF3D0F14"/>
        </patternFill>
      </fill>
    </dxf>
    <dxf>
      <font>
        <name val="Meiryo UI"/>
        <charset val="1"/>
        <family val="0"/>
        <b val="1"/>
        <color rgb="FFFF5252"/>
        <sz val="10"/>
      </font>
    </dxf>
    <dxf>
      <font>
        <name val="Consolas"/>
        <charset val="1"/>
        <family val="0"/>
        <b val="1"/>
        <color rgb="FFFF5252"/>
        <sz val="9"/>
      </font>
    </dxf>
    <dxf>
      <font>
        <name val="Consolas"/>
        <charset val="1"/>
        <family val="0"/>
        <color rgb="FF00E676"/>
        <sz val="9"/>
      </font>
    </dxf>
  </dxfs>
  <colors>
    <indexedColors>
      <rgbColor rgb="FF000000"/>
      <rgbColor rgb="FFFFFFFF"/>
      <rgbColor rgb="FFFF1744"/>
      <rgbColor rgb="FF00E676"/>
      <rgbColor rgb="FF0000FF"/>
      <rgbColor rgb="FFFFFF00"/>
      <rgbColor rgb="FFFF00FF"/>
      <rgbColor rgb="FF00FFFF"/>
      <rgbColor rgb="FF21262D"/>
      <rgbColor rgb="FF008000"/>
      <rgbColor rgb="FF0D1117"/>
      <rgbColor rgb="FF808000"/>
      <rgbColor rgb="FF800080"/>
      <rgbColor rgb="FF008080"/>
      <rgbColor rgb="FFC0C0C0"/>
      <rgbColor rgb="FF6E7681"/>
      <rgbColor rgb="FF9999FF"/>
      <rgbColor rgb="FF993366"/>
      <rgbColor rgb="FFFFFFCC"/>
      <rgbColor rgb="FFCCFFFF"/>
      <rgbColor rgb="FF3D0F14"/>
      <rgbColor rgb="FFFF8A65"/>
      <rgbColor rgb="FF0066CC"/>
      <rgbColor rgb="FFC9D1D9"/>
      <rgbColor rgb="FF161B22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9DDB"/>
      <rgbColor rgb="FFFFCC99"/>
      <rgbColor rgb="FF3366FF"/>
      <rgbColor rgb="FF4DD0E1"/>
      <rgbColor rgb="FF99CC00"/>
      <rgbColor rgb="FFFFD740"/>
      <rgbColor rgb="FFFF9900"/>
      <rgbColor rgb="FFFF5252"/>
      <rgbColor rgb="FF4B5157"/>
      <rgbColor rgb="FF969696"/>
      <rgbColor rgb="FF0E2A33"/>
      <rgbColor rgb="FF00C853"/>
      <rgbColor rgb="FF1C2733"/>
      <rgbColor rgb="FF3A2E00"/>
      <rgbColor rgb="FF993300"/>
      <rgbColor rgb="FF993366"/>
      <rgbColor rgb="FF1F4E5F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676"/>
    <pageSetUpPr fitToPage="false"/>
  </sheetPr>
  <dimension ref="A1:R5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8" min="6" style="0" width="11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32"/>
    <col collapsed="false" customWidth="true" hidden="false" outlineLevel="0" max="14" min="14" style="0" width="20"/>
    <col collapsed="false" customWidth="true" hidden="false" outlineLevel="0" max="16" min="15" style="0" width="11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5.5" hidden="false" customHeight="true" outlineLevel="0" collapsed="false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2"/>
      <c r="R3" s="2"/>
    </row>
    <row r="4" customFormat="false" ht="26.85" hidden="false" customHeight="false" outlineLevel="0" collapsed="false">
      <c r="A4" s="6" t="n">
        <f aca="false">IF(D4="","",ROW()-3)</f>
        <v>1</v>
      </c>
      <c r="B4" s="7" t="str">
        <f aca="false">IF($C4="","",IFERROR(INDEX(案件マスタ!$A$4:$A$23,MATCH($C4,案件マスタ!$B$4:$B$23,0)),"?"))</f>
        <v>A社</v>
      </c>
      <c r="C4" s="8" t="s">
        <v>18</v>
      </c>
      <c r="D4" s="9" t="s">
        <v>19</v>
      </c>
      <c r="E4" s="10" t="s">
        <v>20</v>
      </c>
      <c r="F4" s="11" t="n">
        <v>46266</v>
      </c>
      <c r="G4" s="11" t="n">
        <v>46270</v>
      </c>
      <c r="H4" s="10" t="s">
        <v>21</v>
      </c>
      <c r="I4" s="12" t="n">
        <v>0.4</v>
      </c>
      <c r="J4" s="13" t="str">
        <f aca="true">IF(D4="","",IF(H4="完了","✓ DONE",IF(G4="","⚠ NO DUE",IF(G4&lt;TODAY(),"🔴 OVERDUE",IF(G4=TODAY(),"🟡 TODAY","")))))</f>
        <v>🔴 OVERDUE</v>
      </c>
      <c r="K4" s="14" t="n">
        <v>8</v>
      </c>
      <c r="L4" s="15" t="n">
        <f aca="false">IF(A4="","",SUMIFS(工数ログ!$E$4:$E$1003,工数ログ!$D$4:$D$1003,$A4))</f>
        <v>5.5</v>
      </c>
      <c r="M4" s="9" t="s">
        <v>22</v>
      </c>
      <c r="N4" s="9"/>
      <c r="O4" s="11" t="n">
        <v>46264</v>
      </c>
      <c r="P4" s="11"/>
      <c r="Q4" s="2"/>
      <c r="R4" s="2"/>
    </row>
    <row r="5" customFormat="false" ht="15" hidden="false" customHeight="false" outlineLevel="0" collapsed="false">
      <c r="A5" s="6" t="n">
        <f aca="false">IF(D5="","",ROW()-3)</f>
        <v>2</v>
      </c>
      <c r="B5" s="7" t="str">
        <f aca="false">IF($C5="","",IFERROR(INDEX(案件マスタ!$A$4:$A$23,MATCH($C5,案件マスタ!$B$4:$B$23,0)),"?"))</f>
        <v>A社</v>
      </c>
      <c r="C5" s="8" t="s">
        <v>18</v>
      </c>
      <c r="D5" s="9" t="s">
        <v>23</v>
      </c>
      <c r="E5" s="10" t="s">
        <v>20</v>
      </c>
      <c r="F5" s="11" t="n">
        <v>46269</v>
      </c>
      <c r="G5" s="11" t="n">
        <v>46273</v>
      </c>
      <c r="H5" s="10" t="s">
        <v>24</v>
      </c>
      <c r="I5" s="12" t="n">
        <v>0.9</v>
      </c>
      <c r="J5" s="13" t="str">
        <f aca="true">IF(D5="","",IF(H5="完了","✓ DONE",IF(G5="","⚠ NO DUE",IF(G5&lt;TODAY(),"🔴 OVERDUE",IF(G5=TODAY(),"🟡 TODAY","")))))</f>
        <v>🟡 TODAY</v>
      </c>
      <c r="K5" s="14" t="n">
        <v>12</v>
      </c>
      <c r="L5" s="15" t="n">
        <f aca="false">IF(A5="","",SUMIFS(工数ログ!$E$4:$E$1003,工数ログ!$D$4:$D$1003,$A5))</f>
        <v>2</v>
      </c>
      <c r="M5" s="9" t="s">
        <v>25</v>
      </c>
      <c r="N5" s="9"/>
      <c r="O5" s="11" t="n">
        <v>46266</v>
      </c>
      <c r="P5" s="11"/>
      <c r="Q5" s="2"/>
      <c r="R5" s="2"/>
    </row>
    <row r="6" customFormat="false" ht="15" hidden="false" customHeight="false" outlineLevel="0" collapsed="false">
      <c r="A6" s="6" t="n">
        <f aca="false">IF(D6="","",ROW()-3)</f>
        <v>3</v>
      </c>
      <c r="B6" s="7" t="str">
        <f aca="false">IF($C6="","",IFERROR(INDEX(案件マスタ!$A$4:$A$23,MATCH($C6,案件マスタ!$B$4:$B$23,0)),"?"))</f>
        <v>A社</v>
      </c>
      <c r="C6" s="8" t="s">
        <v>26</v>
      </c>
      <c r="D6" s="9" t="s">
        <v>27</v>
      </c>
      <c r="E6" s="10" t="s">
        <v>28</v>
      </c>
      <c r="F6" s="11" t="n">
        <v>46272</v>
      </c>
      <c r="G6" s="11" t="n">
        <v>46277</v>
      </c>
      <c r="H6" s="10" t="s">
        <v>21</v>
      </c>
      <c r="I6" s="12" t="n">
        <v>0.3</v>
      </c>
      <c r="J6" s="13" t="str">
        <f aca="true">IF(D6="","",IF(H6="完了","✓ DONE",IF(G6="","⚠ NO DUE",IF(G6&lt;TODAY(),"🔴 OVERDUE",IF(G6=TODAY(),"🟡 TODAY","")))))</f>
        <v/>
      </c>
      <c r="K6" s="14" t="n">
        <v>6</v>
      </c>
      <c r="L6" s="15" t="n">
        <f aca="false">IF(A6="","",SUMIFS(工数ログ!$E$4:$E$1003,工数ログ!$D$4:$D$1003,$A6))</f>
        <v>1.5</v>
      </c>
      <c r="M6" s="9" t="s">
        <v>29</v>
      </c>
      <c r="N6" s="9"/>
      <c r="O6" s="11" t="n">
        <v>46269</v>
      </c>
      <c r="P6" s="11"/>
      <c r="Q6" s="2"/>
      <c r="R6" s="2"/>
    </row>
    <row r="7" customFormat="false" ht="15" hidden="false" customHeight="false" outlineLevel="0" collapsed="false">
      <c r="A7" s="6" t="n">
        <f aca="false">IF(D7="","",ROW()-3)</f>
        <v>4</v>
      </c>
      <c r="B7" s="7" t="str">
        <f aca="false">IF($C7="","",IFERROR(INDEX(案件マスタ!$A$4:$A$23,MATCH($C7,案件マスタ!$B$4:$B$23,0)),"?"))</f>
        <v>B社</v>
      </c>
      <c r="C7" s="8" t="s">
        <v>30</v>
      </c>
      <c r="D7" s="9" t="s">
        <v>31</v>
      </c>
      <c r="E7" s="10" t="s">
        <v>28</v>
      </c>
      <c r="F7" s="11" t="n">
        <v>46267</v>
      </c>
      <c r="G7" s="11" t="n">
        <v>46270</v>
      </c>
      <c r="H7" s="10" t="s">
        <v>32</v>
      </c>
      <c r="I7" s="12" t="n">
        <v>1</v>
      </c>
      <c r="J7" s="13" t="str">
        <f aca="true">IF(D7="","",IF(H7="完了","✓ DONE",IF(G7="","⚠ NO DUE",IF(G7&lt;TODAY(),"🔴 OVERDUE",IF(G7=TODAY(),"🟡 TODAY","")))))</f>
        <v>✓ DONE</v>
      </c>
      <c r="K7" s="14" t="n">
        <v>4</v>
      </c>
      <c r="L7" s="15" t="n">
        <f aca="false">IF(A7="","",SUMIFS(工数ログ!$E$4:$E$1003,工数ログ!$D$4:$D$1003,$A7))</f>
        <v>4</v>
      </c>
      <c r="M7" s="9" t="s">
        <v>33</v>
      </c>
      <c r="N7" s="9"/>
      <c r="O7" s="11" t="n">
        <v>46266</v>
      </c>
      <c r="P7" s="11" t="n">
        <v>46270</v>
      </c>
      <c r="Q7" s="2"/>
      <c r="R7" s="2"/>
    </row>
    <row r="8" customFormat="false" ht="26.85" hidden="false" customHeight="false" outlineLevel="0" collapsed="false">
      <c r="A8" s="6" t="n">
        <f aca="false">IF(D8="","",ROW()-3)</f>
        <v>5</v>
      </c>
      <c r="B8" s="7" t="str">
        <f aca="false">IF($C8="","",IFERROR(INDEX(案件マスタ!$A$4:$A$23,MATCH($C8,案件マスタ!$B$4:$B$23,0)),"?"))</f>
        <v>B社</v>
      </c>
      <c r="C8" s="8" t="s">
        <v>30</v>
      </c>
      <c r="D8" s="9" t="s">
        <v>34</v>
      </c>
      <c r="E8" s="10" t="s">
        <v>20</v>
      </c>
      <c r="F8" s="11" t="n">
        <v>46274</v>
      </c>
      <c r="G8" s="11" t="n">
        <v>46281</v>
      </c>
      <c r="H8" s="10" t="s">
        <v>35</v>
      </c>
      <c r="I8" s="12" t="n">
        <v>0</v>
      </c>
      <c r="J8" s="13" t="str">
        <f aca="true">IF(D8="","",IF(H8="完了","✓ DONE",IF(G8="","⚠ NO DUE",IF(G8&lt;TODAY(),"🔴 OVERDUE",IF(G8=TODAY(),"🟡 TODAY","")))))</f>
        <v/>
      </c>
      <c r="K8" s="14" t="n">
        <v>10</v>
      </c>
      <c r="L8" s="15" t="n">
        <f aca="false">IF(A8="","",SUMIFS(工数ログ!$E$4:$E$1003,工数ログ!$D$4:$D$1003,$A8))</f>
        <v>0</v>
      </c>
      <c r="M8" s="9" t="s">
        <v>36</v>
      </c>
      <c r="N8" s="9"/>
      <c r="O8" s="11" t="n">
        <v>46272</v>
      </c>
      <c r="P8" s="11"/>
      <c r="Q8" s="2"/>
      <c r="R8" s="2"/>
    </row>
    <row r="9" customFormat="false" ht="15" hidden="false" customHeight="false" outlineLevel="0" collapsed="false">
      <c r="A9" s="6" t="str">
        <f aca="false">IF(D9="","",ROW()-3)</f>
        <v/>
      </c>
      <c r="B9" s="7" t="str">
        <f aca="false">IF($C9="","",IFERROR(INDEX(案件マスタ!$A$4:$A$23,MATCH($C9,案件マスタ!$B$4:$B$23,0)),"?"))</f>
        <v/>
      </c>
      <c r="C9" s="8"/>
      <c r="D9" s="9"/>
      <c r="E9" s="10"/>
      <c r="F9" s="11"/>
      <c r="G9" s="11"/>
      <c r="H9" s="10"/>
      <c r="I9" s="12"/>
      <c r="J9" s="13" t="str">
        <f aca="true">IF(D9="","",IF(H9="完了","✓ DONE",IF(G9="","⚠ NO DUE",IF(G9&lt;TODAY(),"🔴 OVERDUE",IF(G9=TODAY(),"🟡 TODAY","")))))</f>
        <v/>
      </c>
      <c r="K9" s="14"/>
      <c r="L9" s="15" t="str">
        <f aca="false">IF(A9="","",SUMIFS(工数ログ!$E$4:$E$1003,工数ログ!$D$4:$D$1003,$A9))</f>
        <v/>
      </c>
      <c r="M9" s="9"/>
      <c r="N9" s="9"/>
      <c r="O9" s="11"/>
      <c r="P9" s="11"/>
      <c r="Q9" s="2"/>
      <c r="R9" s="2"/>
    </row>
    <row r="10" customFormat="false" ht="15" hidden="false" customHeight="false" outlineLevel="0" collapsed="false">
      <c r="A10" s="6" t="str">
        <f aca="false">IF(D10="","",ROW()-3)</f>
        <v/>
      </c>
      <c r="B10" s="7" t="str">
        <f aca="false">IF($C10="","",IFERROR(INDEX(案件マスタ!$A$4:$A$23,MATCH($C10,案件マスタ!$B$4:$B$23,0)),"?"))</f>
        <v/>
      </c>
      <c r="C10" s="8"/>
      <c r="D10" s="9"/>
      <c r="E10" s="10"/>
      <c r="F10" s="11"/>
      <c r="G10" s="11"/>
      <c r="H10" s="10"/>
      <c r="I10" s="12"/>
      <c r="J10" s="13" t="str">
        <f aca="true">IF(D10="","",IF(H10="完了","✓ DONE",IF(G10="","⚠ NO DUE",IF(G10&lt;TODAY(),"🔴 OVERDUE",IF(G10=TODAY(),"🟡 TODAY","")))))</f>
        <v/>
      </c>
      <c r="K10" s="14"/>
      <c r="L10" s="15" t="str">
        <f aca="false">IF(A10="","",SUMIFS(工数ログ!$E$4:$E$1003,工数ログ!$D$4:$D$1003,$A10))</f>
        <v/>
      </c>
      <c r="M10" s="9"/>
      <c r="N10" s="9"/>
      <c r="O10" s="11"/>
      <c r="P10" s="11"/>
      <c r="Q10" s="2"/>
      <c r="R10" s="2"/>
    </row>
    <row r="11" customFormat="false" ht="15" hidden="false" customHeight="false" outlineLevel="0" collapsed="false">
      <c r="A11" s="6" t="str">
        <f aca="false">IF(D11="","",ROW()-3)</f>
        <v/>
      </c>
      <c r="B11" s="7" t="str">
        <f aca="false">IF($C11="","",IFERROR(INDEX(案件マスタ!$A$4:$A$23,MATCH($C11,案件マスタ!$B$4:$B$23,0)),"?"))</f>
        <v/>
      </c>
      <c r="C11" s="8"/>
      <c r="D11" s="9"/>
      <c r="E11" s="10"/>
      <c r="F11" s="11"/>
      <c r="G11" s="11"/>
      <c r="H11" s="10"/>
      <c r="I11" s="12"/>
      <c r="J11" s="13" t="str">
        <f aca="true">IF(D11="","",IF(H11="完了","✓ DONE",IF(G11="","⚠ NO DUE",IF(G11&lt;TODAY(),"🔴 OVERDUE",IF(G11=TODAY(),"🟡 TODAY","")))))</f>
        <v/>
      </c>
      <c r="K11" s="14"/>
      <c r="L11" s="15" t="str">
        <f aca="false">IF(A11="","",SUMIFS(工数ログ!$E$4:$E$1003,工数ログ!$D$4:$D$1003,$A11))</f>
        <v/>
      </c>
      <c r="M11" s="9"/>
      <c r="N11" s="9"/>
      <c r="O11" s="11"/>
      <c r="P11" s="11"/>
      <c r="Q11" s="2"/>
      <c r="R11" s="2"/>
    </row>
    <row r="12" customFormat="false" ht="15" hidden="false" customHeight="false" outlineLevel="0" collapsed="false">
      <c r="A12" s="6" t="str">
        <f aca="false">IF(D12="","",ROW()-3)</f>
        <v/>
      </c>
      <c r="B12" s="7" t="str">
        <f aca="false">IF($C12="","",IFERROR(INDEX(案件マスタ!$A$4:$A$23,MATCH($C12,案件マスタ!$B$4:$B$23,0)),"?"))</f>
        <v/>
      </c>
      <c r="C12" s="8"/>
      <c r="D12" s="9"/>
      <c r="E12" s="10"/>
      <c r="F12" s="11"/>
      <c r="G12" s="11"/>
      <c r="H12" s="10"/>
      <c r="I12" s="12"/>
      <c r="J12" s="13" t="str">
        <f aca="true">IF(D12="","",IF(H12="完了","✓ DONE",IF(G12="","⚠ NO DUE",IF(G12&lt;TODAY(),"🔴 OVERDUE",IF(G12=TODAY(),"🟡 TODAY","")))))</f>
        <v/>
      </c>
      <c r="K12" s="14"/>
      <c r="L12" s="15" t="str">
        <f aca="false">IF(A12="","",SUMIFS(工数ログ!$E$4:$E$1003,工数ログ!$D$4:$D$1003,$A12))</f>
        <v/>
      </c>
      <c r="M12" s="9"/>
      <c r="N12" s="9"/>
      <c r="O12" s="11"/>
      <c r="P12" s="11"/>
      <c r="Q12" s="2"/>
      <c r="R12" s="2"/>
    </row>
    <row r="13" customFormat="false" ht="15" hidden="false" customHeight="false" outlineLevel="0" collapsed="false">
      <c r="A13" s="6" t="str">
        <f aca="false">IF(D13="","",ROW()-3)</f>
        <v/>
      </c>
      <c r="B13" s="7" t="str">
        <f aca="false">IF($C13="","",IFERROR(INDEX(案件マスタ!$A$4:$A$23,MATCH($C13,案件マスタ!$B$4:$B$23,0)),"?"))</f>
        <v/>
      </c>
      <c r="C13" s="8"/>
      <c r="D13" s="9"/>
      <c r="E13" s="10"/>
      <c r="F13" s="11"/>
      <c r="G13" s="11"/>
      <c r="H13" s="10"/>
      <c r="I13" s="12"/>
      <c r="J13" s="13" t="str">
        <f aca="true">IF(D13="","",IF(H13="完了","✓ DONE",IF(G13="","⚠ NO DUE",IF(G13&lt;TODAY(),"🔴 OVERDUE",IF(G13=TODAY(),"🟡 TODAY","")))))</f>
        <v/>
      </c>
      <c r="K13" s="14"/>
      <c r="L13" s="15" t="str">
        <f aca="false">IF(A13="","",SUMIFS(工数ログ!$E$4:$E$1003,工数ログ!$D$4:$D$1003,$A13))</f>
        <v/>
      </c>
      <c r="M13" s="9"/>
      <c r="N13" s="9"/>
      <c r="O13" s="11"/>
      <c r="P13" s="11"/>
      <c r="Q13" s="2"/>
      <c r="R13" s="2"/>
    </row>
    <row r="14" customFormat="false" ht="15" hidden="false" customHeight="false" outlineLevel="0" collapsed="false">
      <c r="A14" s="6" t="str">
        <f aca="false">IF(D14="","",ROW()-3)</f>
        <v/>
      </c>
      <c r="B14" s="7" t="str">
        <f aca="false">IF($C14="","",IFERROR(INDEX(案件マスタ!$A$4:$A$23,MATCH($C14,案件マスタ!$B$4:$B$23,0)),"?"))</f>
        <v/>
      </c>
      <c r="C14" s="8"/>
      <c r="D14" s="9"/>
      <c r="E14" s="10"/>
      <c r="F14" s="11"/>
      <c r="G14" s="11"/>
      <c r="H14" s="10"/>
      <c r="I14" s="12"/>
      <c r="J14" s="13" t="str">
        <f aca="true">IF(D14="","",IF(H14="完了","✓ DONE",IF(G14="","⚠ NO DUE",IF(G14&lt;TODAY(),"🔴 OVERDUE",IF(G14=TODAY(),"🟡 TODAY","")))))</f>
        <v/>
      </c>
      <c r="K14" s="14"/>
      <c r="L14" s="15" t="str">
        <f aca="false">IF(A14="","",SUMIFS(工数ログ!$E$4:$E$1003,工数ログ!$D$4:$D$1003,$A14))</f>
        <v/>
      </c>
      <c r="M14" s="9"/>
      <c r="N14" s="9"/>
      <c r="O14" s="11"/>
      <c r="P14" s="11"/>
      <c r="Q14" s="2"/>
      <c r="R14" s="2"/>
    </row>
    <row r="15" customFormat="false" ht="15" hidden="false" customHeight="false" outlineLevel="0" collapsed="false">
      <c r="A15" s="6" t="str">
        <f aca="false">IF(D15="","",ROW()-3)</f>
        <v/>
      </c>
      <c r="B15" s="7" t="str">
        <f aca="false">IF($C15="","",IFERROR(INDEX(案件マスタ!$A$4:$A$23,MATCH($C15,案件マスタ!$B$4:$B$23,0)),"?"))</f>
        <v/>
      </c>
      <c r="C15" s="8"/>
      <c r="D15" s="9"/>
      <c r="E15" s="10"/>
      <c r="F15" s="11"/>
      <c r="G15" s="11"/>
      <c r="H15" s="10"/>
      <c r="I15" s="12"/>
      <c r="J15" s="13" t="str">
        <f aca="true">IF(D15="","",IF(H15="完了","✓ DONE",IF(G15="","⚠ NO DUE",IF(G15&lt;TODAY(),"🔴 OVERDUE",IF(G15=TODAY(),"🟡 TODAY","")))))</f>
        <v/>
      </c>
      <c r="K15" s="14"/>
      <c r="L15" s="15" t="str">
        <f aca="false">IF(A15="","",SUMIFS(工数ログ!$E$4:$E$1003,工数ログ!$D$4:$D$1003,$A15))</f>
        <v/>
      </c>
      <c r="M15" s="9"/>
      <c r="N15" s="9"/>
      <c r="O15" s="11"/>
      <c r="P15" s="11"/>
      <c r="Q15" s="2"/>
      <c r="R15" s="2"/>
    </row>
    <row r="16" customFormat="false" ht="15" hidden="false" customHeight="false" outlineLevel="0" collapsed="false">
      <c r="A16" s="6" t="str">
        <f aca="false">IF(D16="","",ROW()-3)</f>
        <v/>
      </c>
      <c r="B16" s="7" t="str">
        <f aca="false">IF($C16="","",IFERROR(INDEX(案件マスタ!$A$4:$A$23,MATCH($C16,案件マスタ!$B$4:$B$23,0)),"?"))</f>
        <v/>
      </c>
      <c r="C16" s="8"/>
      <c r="D16" s="9"/>
      <c r="E16" s="10"/>
      <c r="F16" s="11"/>
      <c r="G16" s="11"/>
      <c r="H16" s="10"/>
      <c r="I16" s="12"/>
      <c r="J16" s="13" t="str">
        <f aca="true">IF(D16="","",IF(H16="完了","✓ DONE",IF(G16="","⚠ NO DUE",IF(G16&lt;TODAY(),"🔴 OVERDUE",IF(G16=TODAY(),"🟡 TODAY","")))))</f>
        <v/>
      </c>
      <c r="K16" s="14"/>
      <c r="L16" s="15" t="str">
        <f aca="false">IF(A16="","",SUMIFS(工数ログ!$E$4:$E$1003,工数ログ!$D$4:$D$1003,$A16))</f>
        <v/>
      </c>
      <c r="M16" s="9"/>
      <c r="N16" s="9"/>
      <c r="O16" s="11"/>
      <c r="P16" s="11"/>
      <c r="Q16" s="2"/>
      <c r="R16" s="2"/>
    </row>
    <row r="17" customFormat="false" ht="15" hidden="false" customHeight="false" outlineLevel="0" collapsed="false">
      <c r="A17" s="6" t="str">
        <f aca="false">IF(D17="","",ROW()-3)</f>
        <v/>
      </c>
      <c r="B17" s="7" t="str">
        <f aca="false">IF($C17="","",IFERROR(INDEX(案件マスタ!$A$4:$A$23,MATCH($C17,案件マスタ!$B$4:$B$23,0)),"?"))</f>
        <v/>
      </c>
      <c r="C17" s="8"/>
      <c r="D17" s="9"/>
      <c r="E17" s="10"/>
      <c r="F17" s="11"/>
      <c r="G17" s="11"/>
      <c r="H17" s="10"/>
      <c r="I17" s="12"/>
      <c r="J17" s="13" t="str">
        <f aca="true">IF(D17="","",IF(H17="完了","✓ DONE",IF(G17="","⚠ NO DUE",IF(G17&lt;TODAY(),"🔴 OVERDUE",IF(G17=TODAY(),"🟡 TODAY","")))))</f>
        <v/>
      </c>
      <c r="K17" s="14"/>
      <c r="L17" s="15" t="str">
        <f aca="false">IF(A17="","",SUMIFS(工数ログ!$E$4:$E$1003,工数ログ!$D$4:$D$1003,$A17))</f>
        <v/>
      </c>
      <c r="M17" s="9"/>
      <c r="N17" s="9"/>
      <c r="O17" s="11"/>
      <c r="P17" s="11"/>
      <c r="Q17" s="2"/>
      <c r="R17" s="2"/>
    </row>
    <row r="18" customFormat="false" ht="15" hidden="false" customHeight="false" outlineLevel="0" collapsed="false">
      <c r="A18" s="6" t="str">
        <f aca="false">IF(D18="","",ROW()-3)</f>
        <v/>
      </c>
      <c r="B18" s="7" t="str">
        <f aca="false">IF($C18="","",IFERROR(INDEX(案件マスタ!$A$4:$A$23,MATCH($C18,案件マスタ!$B$4:$B$23,0)),"?"))</f>
        <v/>
      </c>
      <c r="C18" s="8"/>
      <c r="D18" s="9"/>
      <c r="E18" s="10"/>
      <c r="F18" s="11"/>
      <c r="G18" s="11"/>
      <c r="H18" s="10"/>
      <c r="I18" s="12"/>
      <c r="J18" s="13" t="str">
        <f aca="true">IF(D18="","",IF(H18="完了","✓ DONE",IF(G18="","⚠ NO DUE",IF(G18&lt;TODAY(),"🔴 OVERDUE",IF(G18=TODAY(),"🟡 TODAY","")))))</f>
        <v/>
      </c>
      <c r="K18" s="14"/>
      <c r="L18" s="15" t="str">
        <f aca="false">IF(A18="","",SUMIFS(工数ログ!$E$4:$E$1003,工数ログ!$D$4:$D$1003,$A18))</f>
        <v/>
      </c>
      <c r="M18" s="9"/>
      <c r="N18" s="9"/>
      <c r="O18" s="11"/>
      <c r="P18" s="11"/>
      <c r="Q18" s="2"/>
      <c r="R18" s="2"/>
    </row>
    <row r="19" customFormat="false" ht="15" hidden="false" customHeight="false" outlineLevel="0" collapsed="false">
      <c r="A19" s="6" t="str">
        <f aca="false">IF(D19="","",ROW()-3)</f>
        <v/>
      </c>
      <c r="B19" s="7" t="str">
        <f aca="false">IF($C19="","",IFERROR(INDEX(案件マスタ!$A$4:$A$23,MATCH($C19,案件マスタ!$B$4:$B$23,0)),"?"))</f>
        <v/>
      </c>
      <c r="C19" s="8"/>
      <c r="D19" s="9"/>
      <c r="E19" s="10"/>
      <c r="F19" s="11"/>
      <c r="G19" s="11"/>
      <c r="H19" s="10"/>
      <c r="I19" s="12"/>
      <c r="J19" s="13" t="str">
        <f aca="true">IF(D19="","",IF(H19="完了","✓ DONE",IF(G19="","⚠ NO DUE",IF(G19&lt;TODAY(),"🔴 OVERDUE",IF(G19=TODAY(),"🟡 TODAY","")))))</f>
        <v/>
      </c>
      <c r="K19" s="14"/>
      <c r="L19" s="15" t="str">
        <f aca="false">IF(A19="","",SUMIFS(工数ログ!$E$4:$E$1003,工数ログ!$D$4:$D$1003,$A19))</f>
        <v/>
      </c>
      <c r="M19" s="9"/>
      <c r="N19" s="9"/>
      <c r="O19" s="11"/>
      <c r="P19" s="11"/>
      <c r="Q19" s="2"/>
      <c r="R19" s="2"/>
    </row>
    <row r="20" customFormat="false" ht="15" hidden="false" customHeight="false" outlineLevel="0" collapsed="false">
      <c r="A20" s="6" t="str">
        <f aca="false">IF(D20="","",ROW()-3)</f>
        <v/>
      </c>
      <c r="B20" s="7" t="str">
        <f aca="false">IF($C20="","",IFERROR(INDEX(案件マスタ!$A$4:$A$23,MATCH($C20,案件マスタ!$B$4:$B$23,0)),"?"))</f>
        <v/>
      </c>
      <c r="C20" s="8"/>
      <c r="D20" s="9"/>
      <c r="E20" s="10"/>
      <c r="F20" s="11"/>
      <c r="G20" s="11"/>
      <c r="H20" s="10"/>
      <c r="I20" s="12"/>
      <c r="J20" s="13" t="str">
        <f aca="true">IF(D20="","",IF(H20="完了","✓ DONE",IF(G20="","⚠ NO DUE",IF(G20&lt;TODAY(),"🔴 OVERDUE",IF(G20=TODAY(),"🟡 TODAY","")))))</f>
        <v/>
      </c>
      <c r="K20" s="14"/>
      <c r="L20" s="15" t="str">
        <f aca="false">IF(A20="","",SUMIFS(工数ログ!$E$4:$E$1003,工数ログ!$D$4:$D$1003,$A20))</f>
        <v/>
      </c>
      <c r="M20" s="9"/>
      <c r="N20" s="9"/>
      <c r="O20" s="11"/>
      <c r="P20" s="11"/>
      <c r="Q20" s="2"/>
      <c r="R20" s="2"/>
    </row>
    <row r="21" customFormat="false" ht="15" hidden="false" customHeight="false" outlineLevel="0" collapsed="false">
      <c r="A21" s="6" t="str">
        <f aca="false">IF(D21="","",ROW()-3)</f>
        <v/>
      </c>
      <c r="B21" s="7" t="str">
        <f aca="false">IF($C21="","",IFERROR(INDEX(案件マスタ!$A$4:$A$23,MATCH($C21,案件マスタ!$B$4:$B$23,0)),"?"))</f>
        <v/>
      </c>
      <c r="C21" s="8"/>
      <c r="D21" s="9"/>
      <c r="E21" s="10"/>
      <c r="F21" s="11"/>
      <c r="G21" s="11"/>
      <c r="H21" s="10"/>
      <c r="I21" s="12"/>
      <c r="J21" s="13" t="str">
        <f aca="true">IF(D21="","",IF(H21="完了","✓ DONE",IF(G21="","⚠ NO DUE",IF(G21&lt;TODAY(),"🔴 OVERDUE",IF(G21=TODAY(),"🟡 TODAY","")))))</f>
        <v/>
      </c>
      <c r="K21" s="14"/>
      <c r="L21" s="15" t="str">
        <f aca="false">IF(A21="","",SUMIFS(工数ログ!$E$4:$E$1003,工数ログ!$D$4:$D$1003,$A21))</f>
        <v/>
      </c>
      <c r="M21" s="9"/>
      <c r="N21" s="9"/>
      <c r="O21" s="11"/>
      <c r="P21" s="11"/>
      <c r="Q21" s="2"/>
      <c r="R21" s="2"/>
    </row>
    <row r="22" customFormat="false" ht="15" hidden="false" customHeight="false" outlineLevel="0" collapsed="false">
      <c r="A22" s="6" t="str">
        <f aca="false">IF(D22="","",ROW()-3)</f>
        <v/>
      </c>
      <c r="B22" s="7" t="str">
        <f aca="false">IF($C22="","",IFERROR(INDEX(案件マスタ!$A$4:$A$23,MATCH($C22,案件マスタ!$B$4:$B$23,0)),"?"))</f>
        <v/>
      </c>
      <c r="C22" s="8"/>
      <c r="D22" s="9"/>
      <c r="E22" s="10"/>
      <c r="F22" s="11"/>
      <c r="G22" s="11"/>
      <c r="H22" s="10"/>
      <c r="I22" s="12"/>
      <c r="J22" s="13" t="str">
        <f aca="true">IF(D22="","",IF(H22="完了","✓ DONE",IF(G22="","⚠ NO DUE",IF(G22&lt;TODAY(),"🔴 OVERDUE",IF(G22=TODAY(),"🟡 TODAY","")))))</f>
        <v/>
      </c>
      <c r="K22" s="14"/>
      <c r="L22" s="15" t="str">
        <f aca="false">IF(A22="","",SUMIFS(工数ログ!$E$4:$E$1003,工数ログ!$D$4:$D$1003,$A22))</f>
        <v/>
      </c>
      <c r="M22" s="9"/>
      <c r="N22" s="9"/>
      <c r="O22" s="11"/>
      <c r="P22" s="11"/>
      <c r="Q22" s="2"/>
      <c r="R22" s="2"/>
    </row>
    <row r="23" customFormat="false" ht="15" hidden="false" customHeight="false" outlineLevel="0" collapsed="false">
      <c r="A23" s="6" t="str">
        <f aca="false">IF(D23="","",ROW()-3)</f>
        <v/>
      </c>
      <c r="B23" s="7" t="str">
        <f aca="false">IF($C23="","",IFERROR(INDEX(案件マスタ!$A$4:$A$23,MATCH($C23,案件マスタ!$B$4:$B$23,0)),"?"))</f>
        <v/>
      </c>
      <c r="C23" s="8"/>
      <c r="D23" s="9"/>
      <c r="E23" s="10"/>
      <c r="F23" s="11"/>
      <c r="G23" s="11"/>
      <c r="H23" s="10"/>
      <c r="I23" s="12"/>
      <c r="J23" s="13" t="str">
        <f aca="true">IF(D23="","",IF(H23="完了","✓ DONE",IF(G23="","⚠ NO DUE",IF(G23&lt;TODAY(),"🔴 OVERDUE",IF(G23=TODAY(),"🟡 TODAY","")))))</f>
        <v/>
      </c>
      <c r="K23" s="14"/>
      <c r="L23" s="15" t="str">
        <f aca="false">IF(A23="","",SUMIFS(工数ログ!$E$4:$E$1003,工数ログ!$D$4:$D$1003,$A23))</f>
        <v/>
      </c>
      <c r="M23" s="9"/>
      <c r="N23" s="9"/>
      <c r="O23" s="11"/>
      <c r="P23" s="11"/>
      <c r="Q23" s="2"/>
      <c r="R23" s="2"/>
    </row>
    <row r="24" customFormat="false" ht="15" hidden="false" customHeight="false" outlineLevel="0" collapsed="false">
      <c r="A24" s="6" t="str">
        <f aca="false">IF(D24="","",ROW()-3)</f>
        <v/>
      </c>
      <c r="B24" s="7" t="str">
        <f aca="false">IF($C24="","",IFERROR(INDEX(案件マスタ!$A$4:$A$23,MATCH($C24,案件マスタ!$B$4:$B$23,0)),"?"))</f>
        <v/>
      </c>
      <c r="C24" s="8"/>
      <c r="D24" s="9"/>
      <c r="E24" s="10"/>
      <c r="F24" s="11"/>
      <c r="G24" s="11"/>
      <c r="H24" s="10"/>
      <c r="I24" s="12"/>
      <c r="J24" s="13" t="str">
        <f aca="true">IF(D24="","",IF(H24="完了","✓ DONE",IF(G24="","⚠ NO DUE",IF(G24&lt;TODAY(),"🔴 OVERDUE",IF(G24=TODAY(),"🟡 TODAY","")))))</f>
        <v/>
      </c>
      <c r="K24" s="14"/>
      <c r="L24" s="15" t="str">
        <f aca="false">IF(A24="","",SUMIFS(工数ログ!$E$4:$E$1003,工数ログ!$D$4:$D$1003,$A24))</f>
        <v/>
      </c>
      <c r="M24" s="9"/>
      <c r="N24" s="9"/>
      <c r="O24" s="11"/>
      <c r="P24" s="11"/>
      <c r="Q24" s="2"/>
      <c r="R24" s="2"/>
    </row>
    <row r="25" customFormat="false" ht="15" hidden="false" customHeight="false" outlineLevel="0" collapsed="false">
      <c r="A25" s="6" t="str">
        <f aca="false">IF(D25="","",ROW()-3)</f>
        <v/>
      </c>
      <c r="B25" s="7" t="str">
        <f aca="false">IF($C25="","",IFERROR(INDEX(案件マスタ!$A$4:$A$23,MATCH($C25,案件マスタ!$B$4:$B$23,0)),"?"))</f>
        <v/>
      </c>
      <c r="C25" s="8"/>
      <c r="D25" s="9"/>
      <c r="E25" s="10"/>
      <c r="F25" s="11"/>
      <c r="G25" s="11"/>
      <c r="H25" s="10"/>
      <c r="I25" s="12"/>
      <c r="J25" s="13" t="str">
        <f aca="true">IF(D25="","",IF(H25="完了","✓ DONE",IF(G25="","⚠ NO DUE",IF(G25&lt;TODAY(),"🔴 OVERDUE",IF(G25=TODAY(),"🟡 TODAY","")))))</f>
        <v/>
      </c>
      <c r="K25" s="14"/>
      <c r="L25" s="15" t="str">
        <f aca="false">IF(A25="","",SUMIFS(工数ログ!$E$4:$E$1003,工数ログ!$D$4:$D$1003,$A25))</f>
        <v/>
      </c>
      <c r="M25" s="9"/>
      <c r="N25" s="9"/>
      <c r="O25" s="11"/>
      <c r="P25" s="11"/>
      <c r="Q25" s="2"/>
      <c r="R25" s="2"/>
    </row>
    <row r="26" customFormat="false" ht="15" hidden="false" customHeight="false" outlineLevel="0" collapsed="false">
      <c r="A26" s="6" t="str">
        <f aca="false">IF(D26="","",ROW()-3)</f>
        <v/>
      </c>
      <c r="B26" s="7" t="str">
        <f aca="false">IF($C26="","",IFERROR(INDEX(案件マスタ!$A$4:$A$23,MATCH($C26,案件マスタ!$B$4:$B$23,0)),"?"))</f>
        <v/>
      </c>
      <c r="C26" s="8"/>
      <c r="D26" s="9"/>
      <c r="E26" s="10"/>
      <c r="F26" s="11"/>
      <c r="G26" s="11"/>
      <c r="H26" s="10"/>
      <c r="I26" s="12"/>
      <c r="J26" s="13" t="str">
        <f aca="true">IF(D26="","",IF(H26="完了","✓ DONE",IF(G26="","⚠ NO DUE",IF(G26&lt;TODAY(),"🔴 OVERDUE",IF(G26=TODAY(),"🟡 TODAY","")))))</f>
        <v/>
      </c>
      <c r="K26" s="14"/>
      <c r="L26" s="15" t="str">
        <f aca="false">IF(A26="","",SUMIFS(工数ログ!$E$4:$E$1003,工数ログ!$D$4:$D$1003,$A26))</f>
        <v/>
      </c>
      <c r="M26" s="9"/>
      <c r="N26" s="9"/>
      <c r="O26" s="11"/>
      <c r="P26" s="11"/>
      <c r="Q26" s="2"/>
      <c r="R26" s="2"/>
    </row>
    <row r="27" customFormat="false" ht="15" hidden="false" customHeight="false" outlineLevel="0" collapsed="false">
      <c r="A27" s="6" t="str">
        <f aca="false">IF(D27="","",ROW()-3)</f>
        <v/>
      </c>
      <c r="B27" s="7" t="str">
        <f aca="false">IF($C27="","",IFERROR(INDEX(案件マスタ!$A$4:$A$23,MATCH($C27,案件マスタ!$B$4:$B$23,0)),"?"))</f>
        <v/>
      </c>
      <c r="C27" s="8"/>
      <c r="D27" s="9"/>
      <c r="E27" s="10"/>
      <c r="F27" s="11"/>
      <c r="G27" s="11"/>
      <c r="H27" s="10"/>
      <c r="I27" s="12"/>
      <c r="J27" s="13" t="str">
        <f aca="true">IF(D27="","",IF(H27="完了","✓ DONE",IF(G27="","⚠ NO DUE",IF(G27&lt;TODAY(),"🔴 OVERDUE",IF(G27=TODAY(),"🟡 TODAY","")))))</f>
        <v/>
      </c>
      <c r="K27" s="14"/>
      <c r="L27" s="15" t="str">
        <f aca="false">IF(A27="","",SUMIFS(工数ログ!$E$4:$E$1003,工数ログ!$D$4:$D$1003,$A27))</f>
        <v/>
      </c>
      <c r="M27" s="9"/>
      <c r="N27" s="9"/>
      <c r="O27" s="11"/>
      <c r="P27" s="11"/>
      <c r="Q27" s="2"/>
      <c r="R27" s="2"/>
    </row>
    <row r="28" customFormat="false" ht="15" hidden="false" customHeight="false" outlineLevel="0" collapsed="false">
      <c r="A28" s="6" t="str">
        <f aca="false">IF(D28="","",ROW()-3)</f>
        <v/>
      </c>
      <c r="B28" s="7" t="str">
        <f aca="false">IF($C28="","",IFERROR(INDEX(案件マスタ!$A$4:$A$23,MATCH($C28,案件マスタ!$B$4:$B$23,0)),"?"))</f>
        <v/>
      </c>
      <c r="C28" s="8"/>
      <c r="D28" s="9"/>
      <c r="E28" s="10"/>
      <c r="F28" s="11"/>
      <c r="G28" s="11"/>
      <c r="H28" s="10"/>
      <c r="I28" s="12"/>
      <c r="J28" s="13" t="str">
        <f aca="true">IF(D28="","",IF(H28="完了","✓ DONE",IF(G28="","⚠ NO DUE",IF(G28&lt;TODAY(),"🔴 OVERDUE",IF(G28=TODAY(),"🟡 TODAY","")))))</f>
        <v/>
      </c>
      <c r="K28" s="14"/>
      <c r="L28" s="15" t="str">
        <f aca="false">IF(A28="","",SUMIFS(工数ログ!$E$4:$E$1003,工数ログ!$D$4:$D$1003,$A28))</f>
        <v/>
      </c>
      <c r="M28" s="9"/>
      <c r="N28" s="9"/>
      <c r="O28" s="11"/>
      <c r="P28" s="11"/>
      <c r="Q28" s="2"/>
      <c r="R28" s="2"/>
    </row>
    <row r="29" customFormat="false" ht="15" hidden="false" customHeight="false" outlineLevel="0" collapsed="false">
      <c r="A29" s="6" t="str">
        <f aca="false">IF(D29="","",ROW()-3)</f>
        <v/>
      </c>
      <c r="B29" s="7" t="str">
        <f aca="false">IF($C29="","",IFERROR(INDEX(案件マスタ!$A$4:$A$23,MATCH($C29,案件マスタ!$B$4:$B$23,0)),"?"))</f>
        <v/>
      </c>
      <c r="C29" s="8"/>
      <c r="D29" s="9"/>
      <c r="E29" s="10"/>
      <c r="F29" s="11"/>
      <c r="G29" s="11"/>
      <c r="H29" s="10"/>
      <c r="I29" s="12"/>
      <c r="J29" s="13" t="str">
        <f aca="true">IF(D29="","",IF(H29="完了","✓ DONE",IF(G29="","⚠ NO DUE",IF(G29&lt;TODAY(),"🔴 OVERDUE",IF(G29=TODAY(),"🟡 TODAY","")))))</f>
        <v/>
      </c>
      <c r="K29" s="14"/>
      <c r="L29" s="15" t="str">
        <f aca="false">IF(A29="","",SUMIFS(工数ログ!$E$4:$E$1003,工数ログ!$D$4:$D$1003,$A29))</f>
        <v/>
      </c>
      <c r="M29" s="9"/>
      <c r="N29" s="9"/>
      <c r="O29" s="11"/>
      <c r="P29" s="11"/>
      <c r="Q29" s="2"/>
      <c r="R29" s="2"/>
    </row>
    <row r="30" customFormat="false" ht="15" hidden="false" customHeight="false" outlineLevel="0" collapsed="false">
      <c r="A30" s="6" t="str">
        <f aca="false">IF(D30="","",ROW()-3)</f>
        <v/>
      </c>
      <c r="B30" s="7" t="str">
        <f aca="false">IF($C30="","",IFERROR(INDEX(案件マスタ!$A$4:$A$23,MATCH($C30,案件マスタ!$B$4:$B$23,0)),"?"))</f>
        <v/>
      </c>
      <c r="C30" s="8"/>
      <c r="D30" s="9"/>
      <c r="E30" s="10"/>
      <c r="F30" s="11"/>
      <c r="G30" s="11"/>
      <c r="H30" s="10"/>
      <c r="I30" s="12"/>
      <c r="J30" s="13" t="str">
        <f aca="true">IF(D30="","",IF(H30="完了","✓ DONE",IF(G30="","⚠ NO DUE",IF(G30&lt;TODAY(),"🔴 OVERDUE",IF(G30=TODAY(),"🟡 TODAY","")))))</f>
        <v/>
      </c>
      <c r="K30" s="14"/>
      <c r="L30" s="15" t="str">
        <f aca="false">IF(A30="","",SUMIFS(工数ログ!$E$4:$E$1003,工数ログ!$D$4:$D$1003,$A30))</f>
        <v/>
      </c>
      <c r="M30" s="9"/>
      <c r="N30" s="9"/>
      <c r="O30" s="11"/>
      <c r="P30" s="11"/>
      <c r="Q30" s="2"/>
      <c r="R30" s="2"/>
    </row>
    <row r="31" customFormat="false" ht="15" hidden="false" customHeight="false" outlineLevel="0" collapsed="false">
      <c r="A31" s="6" t="str">
        <f aca="false">IF(D31="","",ROW()-3)</f>
        <v/>
      </c>
      <c r="B31" s="7" t="str">
        <f aca="false">IF($C31="","",IFERROR(INDEX(案件マスタ!$A$4:$A$23,MATCH($C31,案件マスタ!$B$4:$B$23,0)),"?"))</f>
        <v/>
      </c>
      <c r="C31" s="8"/>
      <c r="D31" s="9"/>
      <c r="E31" s="10"/>
      <c r="F31" s="11"/>
      <c r="G31" s="11"/>
      <c r="H31" s="10"/>
      <c r="I31" s="12"/>
      <c r="J31" s="13" t="str">
        <f aca="true">IF(D31="","",IF(H31="完了","✓ DONE",IF(G31="","⚠ NO DUE",IF(G31&lt;TODAY(),"🔴 OVERDUE",IF(G31=TODAY(),"🟡 TODAY","")))))</f>
        <v/>
      </c>
      <c r="K31" s="14"/>
      <c r="L31" s="15" t="str">
        <f aca="false">IF(A31="","",SUMIFS(工数ログ!$E$4:$E$1003,工数ログ!$D$4:$D$1003,$A31))</f>
        <v/>
      </c>
      <c r="M31" s="9"/>
      <c r="N31" s="9"/>
      <c r="O31" s="11"/>
      <c r="P31" s="11"/>
      <c r="Q31" s="2"/>
      <c r="R31" s="2"/>
    </row>
    <row r="32" customFormat="false" ht="15" hidden="false" customHeight="false" outlineLevel="0" collapsed="false">
      <c r="A32" s="6" t="str">
        <f aca="false">IF(D32="","",ROW()-3)</f>
        <v/>
      </c>
      <c r="B32" s="7" t="str">
        <f aca="false">IF($C32="","",IFERROR(INDEX(案件マスタ!$A$4:$A$23,MATCH($C32,案件マスタ!$B$4:$B$23,0)),"?"))</f>
        <v/>
      </c>
      <c r="C32" s="8"/>
      <c r="D32" s="9"/>
      <c r="E32" s="10"/>
      <c r="F32" s="11"/>
      <c r="G32" s="11"/>
      <c r="H32" s="10"/>
      <c r="I32" s="12"/>
      <c r="J32" s="13" t="str">
        <f aca="true">IF(D32="","",IF(H32="完了","✓ DONE",IF(G32="","⚠ NO DUE",IF(G32&lt;TODAY(),"🔴 OVERDUE",IF(G32=TODAY(),"🟡 TODAY","")))))</f>
        <v/>
      </c>
      <c r="K32" s="14"/>
      <c r="L32" s="15" t="str">
        <f aca="false">IF(A32="","",SUMIFS(工数ログ!$E$4:$E$1003,工数ログ!$D$4:$D$1003,$A32))</f>
        <v/>
      </c>
      <c r="M32" s="9"/>
      <c r="N32" s="9"/>
      <c r="O32" s="11"/>
      <c r="P32" s="11"/>
      <c r="Q32" s="2"/>
      <c r="R32" s="2"/>
    </row>
    <row r="33" customFormat="false" ht="15" hidden="false" customHeight="false" outlineLevel="0" collapsed="false">
      <c r="A33" s="6" t="str">
        <f aca="false">IF(D33="","",ROW()-3)</f>
        <v/>
      </c>
      <c r="B33" s="7" t="str">
        <f aca="false">IF($C33="","",IFERROR(INDEX(案件マスタ!$A$4:$A$23,MATCH($C33,案件マスタ!$B$4:$B$23,0)),"?"))</f>
        <v/>
      </c>
      <c r="C33" s="8"/>
      <c r="D33" s="9"/>
      <c r="E33" s="10"/>
      <c r="F33" s="11"/>
      <c r="G33" s="11"/>
      <c r="H33" s="10"/>
      <c r="I33" s="12"/>
      <c r="J33" s="13" t="str">
        <f aca="true">IF(D33="","",IF(H33="完了","✓ DONE",IF(G33="","⚠ NO DUE",IF(G33&lt;TODAY(),"🔴 OVERDUE",IF(G33=TODAY(),"🟡 TODAY","")))))</f>
        <v/>
      </c>
      <c r="K33" s="14"/>
      <c r="L33" s="15" t="str">
        <f aca="false">IF(A33="","",SUMIFS(工数ログ!$E$4:$E$1003,工数ログ!$D$4:$D$1003,$A33))</f>
        <v/>
      </c>
      <c r="M33" s="9"/>
      <c r="N33" s="9"/>
      <c r="O33" s="11"/>
      <c r="P33" s="11"/>
      <c r="Q33" s="2"/>
      <c r="R33" s="2"/>
    </row>
    <row r="34" customFormat="false" ht="15" hidden="false" customHeight="false" outlineLevel="0" collapsed="false">
      <c r="A34" s="6" t="str">
        <f aca="false">IF(D34="","",ROW()-3)</f>
        <v/>
      </c>
      <c r="B34" s="7" t="str">
        <f aca="false">IF($C34="","",IFERROR(INDEX(案件マスタ!$A$4:$A$23,MATCH($C34,案件マスタ!$B$4:$B$23,0)),"?"))</f>
        <v/>
      </c>
      <c r="C34" s="8"/>
      <c r="D34" s="9"/>
      <c r="E34" s="10"/>
      <c r="F34" s="11"/>
      <c r="G34" s="11"/>
      <c r="H34" s="10"/>
      <c r="I34" s="12"/>
      <c r="J34" s="13" t="str">
        <f aca="true">IF(D34="","",IF(H34="完了","✓ DONE",IF(G34="","⚠ NO DUE",IF(G34&lt;TODAY(),"🔴 OVERDUE",IF(G34=TODAY(),"🟡 TODAY","")))))</f>
        <v/>
      </c>
      <c r="K34" s="14"/>
      <c r="L34" s="15" t="str">
        <f aca="false">IF(A34="","",SUMIFS(工数ログ!$E$4:$E$1003,工数ログ!$D$4:$D$1003,$A34))</f>
        <v/>
      </c>
      <c r="M34" s="9"/>
      <c r="N34" s="9"/>
      <c r="O34" s="11"/>
      <c r="P34" s="11"/>
      <c r="Q34" s="2"/>
      <c r="R34" s="2"/>
    </row>
    <row r="35" customFormat="false" ht="15" hidden="false" customHeight="false" outlineLevel="0" collapsed="false">
      <c r="A35" s="6" t="str">
        <f aca="false">IF(D35="","",ROW()-3)</f>
        <v/>
      </c>
      <c r="B35" s="7" t="str">
        <f aca="false">IF($C35="","",IFERROR(INDEX(案件マスタ!$A$4:$A$23,MATCH($C35,案件マスタ!$B$4:$B$23,0)),"?"))</f>
        <v/>
      </c>
      <c r="C35" s="8"/>
      <c r="D35" s="9"/>
      <c r="E35" s="10"/>
      <c r="F35" s="11"/>
      <c r="G35" s="11"/>
      <c r="H35" s="10"/>
      <c r="I35" s="12"/>
      <c r="J35" s="13" t="str">
        <f aca="true">IF(D35="","",IF(H35="完了","✓ DONE",IF(G35="","⚠ NO DUE",IF(G35&lt;TODAY(),"🔴 OVERDUE",IF(G35=TODAY(),"🟡 TODAY","")))))</f>
        <v/>
      </c>
      <c r="K35" s="14"/>
      <c r="L35" s="15" t="str">
        <f aca="false">IF(A35="","",SUMIFS(工数ログ!$E$4:$E$1003,工数ログ!$D$4:$D$1003,$A35))</f>
        <v/>
      </c>
      <c r="M35" s="9"/>
      <c r="N35" s="9"/>
      <c r="O35" s="11"/>
      <c r="P35" s="11"/>
      <c r="Q35" s="2"/>
      <c r="R35" s="2"/>
    </row>
    <row r="36" customFormat="false" ht="15" hidden="false" customHeight="false" outlineLevel="0" collapsed="false">
      <c r="A36" s="6" t="str">
        <f aca="false">IF(D36="","",ROW()-3)</f>
        <v/>
      </c>
      <c r="B36" s="7" t="str">
        <f aca="false">IF($C36="","",IFERROR(INDEX(案件マスタ!$A$4:$A$23,MATCH($C36,案件マスタ!$B$4:$B$23,0)),"?"))</f>
        <v/>
      </c>
      <c r="C36" s="8"/>
      <c r="D36" s="9"/>
      <c r="E36" s="10"/>
      <c r="F36" s="11"/>
      <c r="G36" s="11"/>
      <c r="H36" s="10"/>
      <c r="I36" s="12"/>
      <c r="J36" s="13" t="str">
        <f aca="true">IF(D36="","",IF(H36="完了","✓ DONE",IF(G36="","⚠ NO DUE",IF(G36&lt;TODAY(),"🔴 OVERDUE",IF(G36=TODAY(),"🟡 TODAY","")))))</f>
        <v/>
      </c>
      <c r="K36" s="14"/>
      <c r="L36" s="15" t="str">
        <f aca="false">IF(A36="","",SUMIFS(工数ログ!$E$4:$E$1003,工数ログ!$D$4:$D$1003,$A36))</f>
        <v/>
      </c>
      <c r="M36" s="9"/>
      <c r="N36" s="9"/>
      <c r="O36" s="11"/>
      <c r="P36" s="11"/>
      <c r="Q36" s="2"/>
      <c r="R36" s="2"/>
    </row>
    <row r="37" customFormat="false" ht="15" hidden="false" customHeight="false" outlineLevel="0" collapsed="false">
      <c r="A37" s="6" t="str">
        <f aca="false">IF(D37="","",ROW()-3)</f>
        <v/>
      </c>
      <c r="B37" s="7" t="str">
        <f aca="false">IF($C37="","",IFERROR(INDEX(案件マスタ!$A$4:$A$23,MATCH($C37,案件マスタ!$B$4:$B$23,0)),"?"))</f>
        <v/>
      </c>
      <c r="C37" s="8"/>
      <c r="D37" s="9"/>
      <c r="E37" s="10"/>
      <c r="F37" s="11"/>
      <c r="G37" s="11"/>
      <c r="H37" s="10"/>
      <c r="I37" s="12"/>
      <c r="J37" s="13" t="str">
        <f aca="true">IF(D37="","",IF(H37="完了","✓ DONE",IF(G37="","⚠ NO DUE",IF(G37&lt;TODAY(),"🔴 OVERDUE",IF(G37=TODAY(),"🟡 TODAY","")))))</f>
        <v/>
      </c>
      <c r="K37" s="14"/>
      <c r="L37" s="15" t="str">
        <f aca="false">IF(A37="","",SUMIFS(工数ログ!$E$4:$E$1003,工数ログ!$D$4:$D$1003,$A37))</f>
        <v/>
      </c>
      <c r="M37" s="9"/>
      <c r="N37" s="9"/>
      <c r="O37" s="11"/>
      <c r="P37" s="11"/>
      <c r="Q37" s="2"/>
      <c r="R37" s="2"/>
    </row>
    <row r="38" customFormat="false" ht="15" hidden="false" customHeight="false" outlineLevel="0" collapsed="false">
      <c r="A38" s="6" t="str">
        <f aca="false">IF(D38="","",ROW()-3)</f>
        <v/>
      </c>
      <c r="B38" s="7" t="str">
        <f aca="false">IF($C38="","",IFERROR(INDEX(案件マスタ!$A$4:$A$23,MATCH($C38,案件マスタ!$B$4:$B$23,0)),"?"))</f>
        <v/>
      </c>
      <c r="C38" s="8"/>
      <c r="D38" s="9"/>
      <c r="E38" s="10"/>
      <c r="F38" s="11"/>
      <c r="G38" s="11"/>
      <c r="H38" s="10"/>
      <c r="I38" s="12"/>
      <c r="J38" s="13" t="str">
        <f aca="true">IF(D38="","",IF(H38="完了","✓ DONE",IF(G38="","⚠ NO DUE",IF(G38&lt;TODAY(),"🔴 OVERDUE",IF(G38=TODAY(),"🟡 TODAY","")))))</f>
        <v/>
      </c>
      <c r="K38" s="14"/>
      <c r="L38" s="15" t="str">
        <f aca="false">IF(A38="","",SUMIFS(工数ログ!$E$4:$E$1003,工数ログ!$D$4:$D$1003,$A38))</f>
        <v/>
      </c>
      <c r="M38" s="9"/>
      <c r="N38" s="9"/>
      <c r="O38" s="11"/>
      <c r="P38" s="11"/>
      <c r="Q38" s="2"/>
      <c r="R38" s="2"/>
    </row>
    <row r="39" customFormat="false" ht="15" hidden="false" customHeight="false" outlineLevel="0" collapsed="false">
      <c r="A39" s="6" t="str">
        <f aca="false">IF(D39="","",ROW()-3)</f>
        <v/>
      </c>
      <c r="B39" s="7" t="str">
        <f aca="false">IF($C39="","",IFERROR(INDEX(案件マスタ!$A$4:$A$23,MATCH($C39,案件マスタ!$B$4:$B$23,0)),"?"))</f>
        <v/>
      </c>
      <c r="C39" s="8"/>
      <c r="D39" s="9"/>
      <c r="E39" s="10"/>
      <c r="F39" s="11"/>
      <c r="G39" s="11"/>
      <c r="H39" s="10"/>
      <c r="I39" s="12"/>
      <c r="J39" s="13" t="str">
        <f aca="true">IF(D39="","",IF(H39="完了","✓ DONE",IF(G39="","⚠ NO DUE",IF(G39&lt;TODAY(),"🔴 OVERDUE",IF(G39=TODAY(),"🟡 TODAY","")))))</f>
        <v/>
      </c>
      <c r="K39" s="14"/>
      <c r="L39" s="15" t="str">
        <f aca="false">IF(A39="","",SUMIFS(工数ログ!$E$4:$E$1003,工数ログ!$D$4:$D$1003,$A39))</f>
        <v/>
      </c>
      <c r="M39" s="9"/>
      <c r="N39" s="9"/>
      <c r="O39" s="11"/>
      <c r="P39" s="11"/>
      <c r="Q39" s="2"/>
      <c r="R39" s="2"/>
    </row>
    <row r="40" customFormat="false" ht="15" hidden="false" customHeight="false" outlineLevel="0" collapsed="false">
      <c r="A40" s="6" t="str">
        <f aca="false">IF(D40="","",ROW()-3)</f>
        <v/>
      </c>
      <c r="B40" s="7" t="str">
        <f aca="false">IF($C40="","",IFERROR(INDEX(案件マスタ!$A$4:$A$23,MATCH($C40,案件マスタ!$B$4:$B$23,0)),"?"))</f>
        <v/>
      </c>
      <c r="C40" s="8"/>
      <c r="D40" s="9"/>
      <c r="E40" s="10"/>
      <c r="F40" s="11"/>
      <c r="G40" s="11"/>
      <c r="H40" s="10"/>
      <c r="I40" s="12"/>
      <c r="J40" s="13" t="str">
        <f aca="true">IF(D40="","",IF(H40="完了","✓ DONE",IF(G40="","⚠ NO DUE",IF(G40&lt;TODAY(),"🔴 OVERDUE",IF(G40=TODAY(),"🟡 TODAY","")))))</f>
        <v/>
      </c>
      <c r="K40" s="14"/>
      <c r="L40" s="15" t="str">
        <f aca="false">IF(A40="","",SUMIFS(工数ログ!$E$4:$E$1003,工数ログ!$D$4:$D$1003,$A40))</f>
        <v/>
      </c>
      <c r="M40" s="9"/>
      <c r="N40" s="9"/>
      <c r="O40" s="11"/>
      <c r="P40" s="11"/>
      <c r="Q40" s="2"/>
      <c r="R40" s="2"/>
    </row>
    <row r="41" customFormat="false" ht="15" hidden="false" customHeight="false" outlineLevel="0" collapsed="false">
      <c r="A41" s="6" t="str">
        <f aca="false">IF(D41="","",ROW()-3)</f>
        <v/>
      </c>
      <c r="B41" s="7" t="str">
        <f aca="false">IF($C41="","",IFERROR(INDEX(案件マスタ!$A$4:$A$23,MATCH($C41,案件マスタ!$B$4:$B$23,0)),"?"))</f>
        <v/>
      </c>
      <c r="C41" s="8"/>
      <c r="D41" s="9"/>
      <c r="E41" s="10"/>
      <c r="F41" s="11"/>
      <c r="G41" s="11"/>
      <c r="H41" s="10"/>
      <c r="I41" s="12"/>
      <c r="J41" s="13" t="str">
        <f aca="true">IF(D41="","",IF(H41="完了","✓ DONE",IF(G41="","⚠ NO DUE",IF(G41&lt;TODAY(),"🔴 OVERDUE",IF(G41=TODAY(),"🟡 TODAY","")))))</f>
        <v/>
      </c>
      <c r="K41" s="14"/>
      <c r="L41" s="15" t="str">
        <f aca="false">IF(A41="","",SUMIFS(工数ログ!$E$4:$E$1003,工数ログ!$D$4:$D$1003,$A41))</f>
        <v/>
      </c>
      <c r="M41" s="9"/>
      <c r="N41" s="9"/>
      <c r="O41" s="11"/>
      <c r="P41" s="11"/>
      <c r="Q41" s="2"/>
      <c r="R41" s="2"/>
    </row>
    <row r="42" customFormat="false" ht="15" hidden="false" customHeight="false" outlineLevel="0" collapsed="false">
      <c r="A42" s="6" t="str">
        <f aca="false">IF(D42="","",ROW()-3)</f>
        <v/>
      </c>
      <c r="B42" s="7" t="str">
        <f aca="false">IF($C42="","",IFERROR(INDEX(案件マスタ!$A$4:$A$23,MATCH($C42,案件マスタ!$B$4:$B$23,0)),"?"))</f>
        <v/>
      </c>
      <c r="C42" s="8"/>
      <c r="D42" s="9"/>
      <c r="E42" s="10"/>
      <c r="F42" s="11"/>
      <c r="G42" s="11"/>
      <c r="H42" s="10"/>
      <c r="I42" s="12"/>
      <c r="J42" s="13" t="str">
        <f aca="true">IF(D42="","",IF(H42="完了","✓ DONE",IF(G42="","⚠ NO DUE",IF(G42&lt;TODAY(),"🔴 OVERDUE",IF(G42=TODAY(),"🟡 TODAY","")))))</f>
        <v/>
      </c>
      <c r="K42" s="14"/>
      <c r="L42" s="15" t="str">
        <f aca="false">IF(A42="","",SUMIFS(工数ログ!$E$4:$E$1003,工数ログ!$D$4:$D$1003,$A42))</f>
        <v/>
      </c>
      <c r="M42" s="9"/>
      <c r="N42" s="9"/>
      <c r="O42" s="11"/>
      <c r="P42" s="11"/>
      <c r="Q42" s="2"/>
      <c r="R42" s="2"/>
    </row>
    <row r="43" customFormat="false" ht="15" hidden="false" customHeight="false" outlineLevel="0" collapsed="false">
      <c r="A43" s="6" t="str">
        <f aca="false">IF(D43="","",ROW()-3)</f>
        <v/>
      </c>
      <c r="B43" s="7" t="str">
        <f aca="false">IF($C43="","",IFERROR(INDEX(案件マスタ!$A$4:$A$23,MATCH($C43,案件マスタ!$B$4:$B$23,0)),"?"))</f>
        <v/>
      </c>
      <c r="C43" s="8"/>
      <c r="D43" s="9"/>
      <c r="E43" s="10"/>
      <c r="F43" s="11"/>
      <c r="G43" s="11"/>
      <c r="H43" s="10"/>
      <c r="I43" s="12"/>
      <c r="J43" s="13" t="str">
        <f aca="true">IF(D43="","",IF(H43="完了","✓ DONE",IF(G43="","⚠ NO DUE",IF(G43&lt;TODAY(),"🔴 OVERDUE",IF(G43=TODAY(),"🟡 TODAY","")))))</f>
        <v/>
      </c>
      <c r="K43" s="14"/>
      <c r="L43" s="15" t="str">
        <f aca="false">IF(A43="","",SUMIFS(工数ログ!$E$4:$E$1003,工数ログ!$D$4:$D$1003,$A43))</f>
        <v/>
      </c>
      <c r="M43" s="9"/>
      <c r="N43" s="9"/>
      <c r="O43" s="11"/>
      <c r="P43" s="11"/>
      <c r="Q43" s="2"/>
      <c r="R43" s="2"/>
    </row>
    <row r="44" customFormat="false" ht="15" hidden="false" customHeight="false" outlineLevel="0" collapsed="false">
      <c r="A44" s="6" t="str">
        <f aca="false">IF(D44="","",ROW()-3)</f>
        <v/>
      </c>
      <c r="B44" s="7" t="str">
        <f aca="false">IF($C44="","",IFERROR(INDEX(案件マスタ!$A$4:$A$23,MATCH($C44,案件マスタ!$B$4:$B$23,0)),"?"))</f>
        <v/>
      </c>
      <c r="C44" s="8"/>
      <c r="D44" s="9"/>
      <c r="E44" s="10"/>
      <c r="F44" s="11"/>
      <c r="G44" s="11"/>
      <c r="H44" s="10"/>
      <c r="I44" s="12"/>
      <c r="J44" s="13" t="str">
        <f aca="true">IF(D44="","",IF(H44="完了","✓ DONE",IF(G44="","⚠ NO DUE",IF(G44&lt;TODAY(),"🔴 OVERDUE",IF(G44=TODAY(),"🟡 TODAY","")))))</f>
        <v/>
      </c>
      <c r="K44" s="14"/>
      <c r="L44" s="15" t="str">
        <f aca="false">IF(A44="","",SUMIFS(工数ログ!$E$4:$E$1003,工数ログ!$D$4:$D$1003,$A44))</f>
        <v/>
      </c>
      <c r="M44" s="9"/>
      <c r="N44" s="9"/>
      <c r="O44" s="11"/>
      <c r="P44" s="11"/>
      <c r="Q44" s="2"/>
      <c r="R44" s="2"/>
    </row>
    <row r="45" customFormat="false" ht="15" hidden="false" customHeight="false" outlineLevel="0" collapsed="false">
      <c r="A45" s="6" t="str">
        <f aca="false">IF(D45="","",ROW()-3)</f>
        <v/>
      </c>
      <c r="B45" s="7" t="str">
        <f aca="false">IF($C45="","",IFERROR(INDEX(案件マスタ!$A$4:$A$23,MATCH($C45,案件マスタ!$B$4:$B$23,0)),"?"))</f>
        <v/>
      </c>
      <c r="C45" s="8"/>
      <c r="D45" s="9"/>
      <c r="E45" s="10"/>
      <c r="F45" s="11"/>
      <c r="G45" s="11"/>
      <c r="H45" s="10"/>
      <c r="I45" s="12"/>
      <c r="J45" s="13" t="str">
        <f aca="true">IF(D45="","",IF(H45="完了","✓ DONE",IF(G45="","⚠ NO DUE",IF(G45&lt;TODAY(),"🔴 OVERDUE",IF(G45=TODAY(),"🟡 TODAY","")))))</f>
        <v/>
      </c>
      <c r="K45" s="14"/>
      <c r="L45" s="15" t="str">
        <f aca="false">IF(A45="","",SUMIFS(工数ログ!$E$4:$E$1003,工数ログ!$D$4:$D$1003,$A45))</f>
        <v/>
      </c>
      <c r="M45" s="9"/>
      <c r="N45" s="9"/>
      <c r="O45" s="11"/>
      <c r="P45" s="11"/>
      <c r="Q45" s="2"/>
      <c r="R45" s="2"/>
    </row>
    <row r="46" customFormat="false" ht="15" hidden="false" customHeight="false" outlineLevel="0" collapsed="false">
      <c r="A46" s="6" t="str">
        <f aca="false">IF(D46="","",ROW()-3)</f>
        <v/>
      </c>
      <c r="B46" s="7" t="str">
        <f aca="false">IF($C46="","",IFERROR(INDEX(案件マスタ!$A$4:$A$23,MATCH($C46,案件マスタ!$B$4:$B$23,0)),"?"))</f>
        <v/>
      </c>
      <c r="C46" s="8"/>
      <c r="D46" s="9"/>
      <c r="E46" s="10"/>
      <c r="F46" s="11"/>
      <c r="G46" s="11"/>
      <c r="H46" s="10"/>
      <c r="I46" s="12"/>
      <c r="J46" s="13" t="str">
        <f aca="true">IF(D46="","",IF(H46="完了","✓ DONE",IF(G46="","⚠ NO DUE",IF(G46&lt;TODAY(),"🔴 OVERDUE",IF(G46=TODAY(),"🟡 TODAY","")))))</f>
        <v/>
      </c>
      <c r="K46" s="14"/>
      <c r="L46" s="15" t="str">
        <f aca="false">IF(A46="","",SUMIFS(工数ログ!$E$4:$E$1003,工数ログ!$D$4:$D$1003,$A46))</f>
        <v/>
      </c>
      <c r="M46" s="9"/>
      <c r="N46" s="9"/>
      <c r="O46" s="11"/>
      <c r="P46" s="11"/>
      <c r="Q46" s="2"/>
      <c r="R46" s="2"/>
    </row>
    <row r="47" customFormat="false" ht="15" hidden="false" customHeight="false" outlineLevel="0" collapsed="false">
      <c r="A47" s="6" t="str">
        <f aca="false">IF(D47="","",ROW()-3)</f>
        <v/>
      </c>
      <c r="B47" s="7" t="str">
        <f aca="false">IF($C47="","",IFERROR(INDEX(案件マスタ!$A$4:$A$23,MATCH($C47,案件マスタ!$B$4:$B$23,0)),"?"))</f>
        <v/>
      </c>
      <c r="C47" s="8"/>
      <c r="D47" s="9"/>
      <c r="E47" s="10"/>
      <c r="F47" s="11"/>
      <c r="G47" s="11"/>
      <c r="H47" s="10"/>
      <c r="I47" s="12"/>
      <c r="J47" s="13" t="str">
        <f aca="true">IF(D47="","",IF(H47="完了","✓ DONE",IF(G47="","⚠ NO DUE",IF(G47&lt;TODAY(),"🔴 OVERDUE",IF(G47=TODAY(),"🟡 TODAY","")))))</f>
        <v/>
      </c>
      <c r="K47" s="14"/>
      <c r="L47" s="15" t="str">
        <f aca="false">IF(A47="","",SUMIFS(工数ログ!$E$4:$E$1003,工数ログ!$D$4:$D$1003,$A47))</f>
        <v/>
      </c>
      <c r="M47" s="9"/>
      <c r="N47" s="9"/>
      <c r="O47" s="11"/>
      <c r="P47" s="11"/>
      <c r="Q47" s="2"/>
      <c r="R47" s="2"/>
    </row>
    <row r="48" customFormat="false" ht="15" hidden="false" customHeight="false" outlineLevel="0" collapsed="false">
      <c r="A48" s="6" t="str">
        <f aca="false">IF(D48="","",ROW()-3)</f>
        <v/>
      </c>
      <c r="B48" s="7" t="str">
        <f aca="false">IF($C48="","",IFERROR(INDEX(案件マスタ!$A$4:$A$23,MATCH($C48,案件マスタ!$B$4:$B$23,0)),"?"))</f>
        <v/>
      </c>
      <c r="C48" s="8"/>
      <c r="D48" s="9"/>
      <c r="E48" s="10"/>
      <c r="F48" s="11"/>
      <c r="G48" s="11"/>
      <c r="H48" s="10"/>
      <c r="I48" s="12"/>
      <c r="J48" s="13" t="str">
        <f aca="true">IF(D48="","",IF(H48="完了","✓ DONE",IF(G48="","⚠ NO DUE",IF(G48&lt;TODAY(),"🔴 OVERDUE",IF(G48=TODAY(),"🟡 TODAY","")))))</f>
        <v/>
      </c>
      <c r="K48" s="14"/>
      <c r="L48" s="15" t="str">
        <f aca="false">IF(A48="","",SUMIFS(工数ログ!$E$4:$E$1003,工数ログ!$D$4:$D$1003,$A48))</f>
        <v/>
      </c>
      <c r="M48" s="9"/>
      <c r="N48" s="9"/>
      <c r="O48" s="11"/>
      <c r="P48" s="11"/>
      <c r="Q48" s="2"/>
      <c r="R48" s="2"/>
    </row>
    <row r="49" customFormat="false" ht="15" hidden="false" customHeight="false" outlineLevel="0" collapsed="false">
      <c r="A49" s="6" t="str">
        <f aca="false">IF(D49="","",ROW()-3)</f>
        <v/>
      </c>
      <c r="B49" s="7" t="str">
        <f aca="false">IF($C49="","",IFERROR(INDEX(案件マスタ!$A$4:$A$23,MATCH($C49,案件マスタ!$B$4:$B$23,0)),"?"))</f>
        <v/>
      </c>
      <c r="C49" s="8"/>
      <c r="D49" s="9"/>
      <c r="E49" s="10"/>
      <c r="F49" s="11"/>
      <c r="G49" s="11"/>
      <c r="H49" s="10"/>
      <c r="I49" s="12"/>
      <c r="J49" s="13" t="str">
        <f aca="true">IF(D49="","",IF(H49="完了","✓ DONE",IF(G49="","⚠ NO DUE",IF(G49&lt;TODAY(),"🔴 OVERDUE",IF(G49=TODAY(),"🟡 TODAY","")))))</f>
        <v/>
      </c>
      <c r="K49" s="14"/>
      <c r="L49" s="15" t="str">
        <f aca="false">IF(A49="","",SUMIFS(工数ログ!$E$4:$E$1003,工数ログ!$D$4:$D$1003,$A49))</f>
        <v/>
      </c>
      <c r="M49" s="9"/>
      <c r="N49" s="9"/>
      <c r="O49" s="11"/>
      <c r="P49" s="11"/>
      <c r="Q49" s="2"/>
      <c r="R49" s="2"/>
    </row>
    <row r="50" customFormat="false" ht="15" hidden="false" customHeight="false" outlineLevel="0" collapsed="false">
      <c r="A50" s="6" t="str">
        <f aca="false">IF(D50="","",ROW()-3)</f>
        <v/>
      </c>
      <c r="B50" s="7" t="str">
        <f aca="false">IF($C50="","",IFERROR(INDEX(案件マスタ!$A$4:$A$23,MATCH($C50,案件マスタ!$B$4:$B$23,0)),"?"))</f>
        <v/>
      </c>
      <c r="C50" s="8"/>
      <c r="D50" s="9"/>
      <c r="E50" s="10"/>
      <c r="F50" s="11"/>
      <c r="G50" s="11"/>
      <c r="H50" s="10"/>
      <c r="I50" s="12"/>
      <c r="J50" s="13" t="str">
        <f aca="true">IF(D50="","",IF(H50="完了","✓ DONE",IF(G50="","⚠ NO DUE",IF(G50&lt;TODAY(),"🔴 OVERDUE",IF(G50=TODAY(),"🟡 TODAY","")))))</f>
        <v/>
      </c>
      <c r="K50" s="14"/>
      <c r="L50" s="15" t="str">
        <f aca="false">IF(A50="","",SUMIFS(工数ログ!$E$4:$E$1003,工数ログ!$D$4:$D$1003,$A50))</f>
        <v/>
      </c>
      <c r="M50" s="9"/>
      <c r="N50" s="9"/>
      <c r="O50" s="11"/>
      <c r="P50" s="11"/>
      <c r="Q50" s="2"/>
      <c r="R50" s="2"/>
    </row>
    <row r="51" customFormat="false" ht="15" hidden="false" customHeight="false" outlineLevel="0" collapsed="false">
      <c r="A51" s="6" t="str">
        <f aca="false">IF(D51="","",ROW()-3)</f>
        <v/>
      </c>
      <c r="B51" s="7" t="str">
        <f aca="false">IF($C51="","",IFERROR(INDEX(案件マスタ!$A$4:$A$23,MATCH($C51,案件マスタ!$B$4:$B$23,0)),"?"))</f>
        <v/>
      </c>
      <c r="C51" s="8"/>
      <c r="D51" s="9"/>
      <c r="E51" s="10"/>
      <c r="F51" s="11"/>
      <c r="G51" s="11"/>
      <c r="H51" s="10"/>
      <c r="I51" s="12"/>
      <c r="J51" s="13" t="str">
        <f aca="true">IF(D51="","",IF(H51="完了","✓ DONE",IF(G51="","⚠ NO DUE",IF(G51&lt;TODAY(),"🔴 OVERDUE",IF(G51=TODAY(),"🟡 TODAY","")))))</f>
        <v/>
      </c>
      <c r="K51" s="14"/>
      <c r="L51" s="15" t="str">
        <f aca="false">IF(A51="","",SUMIFS(工数ログ!$E$4:$E$1003,工数ログ!$D$4:$D$1003,$A51))</f>
        <v/>
      </c>
      <c r="M51" s="9"/>
      <c r="N51" s="9"/>
      <c r="O51" s="11"/>
      <c r="P51" s="11"/>
      <c r="Q51" s="2"/>
      <c r="R51" s="2"/>
    </row>
    <row r="52" customFormat="false" ht="15" hidden="false" customHeight="false" outlineLevel="0" collapsed="false">
      <c r="A52" s="6" t="str">
        <f aca="false">IF(D52="","",ROW()-3)</f>
        <v/>
      </c>
      <c r="B52" s="7" t="str">
        <f aca="false">IF($C52="","",IFERROR(INDEX(案件マスタ!$A$4:$A$23,MATCH($C52,案件マスタ!$B$4:$B$23,0)),"?"))</f>
        <v/>
      </c>
      <c r="C52" s="8"/>
      <c r="D52" s="9"/>
      <c r="E52" s="10"/>
      <c r="F52" s="11"/>
      <c r="G52" s="11"/>
      <c r="H52" s="10"/>
      <c r="I52" s="12"/>
      <c r="J52" s="13" t="str">
        <f aca="true">IF(D52="","",IF(H52="完了","✓ DONE",IF(G52="","⚠ NO DUE",IF(G52&lt;TODAY(),"🔴 OVERDUE",IF(G52=TODAY(),"🟡 TODAY","")))))</f>
        <v/>
      </c>
      <c r="K52" s="14"/>
      <c r="L52" s="15" t="str">
        <f aca="false">IF(A52="","",SUMIFS(工数ログ!$E$4:$E$1003,工数ログ!$D$4:$D$1003,$A52))</f>
        <v/>
      </c>
      <c r="M52" s="9"/>
      <c r="N52" s="9"/>
      <c r="O52" s="11"/>
      <c r="P52" s="11"/>
      <c r="Q52" s="2"/>
      <c r="R52" s="2"/>
    </row>
    <row r="53" customFormat="false" ht="15" hidden="false" customHeight="false" outlineLevel="0" collapsed="false">
      <c r="A53" s="6" t="str">
        <f aca="false">IF(D53="","",ROW()-3)</f>
        <v/>
      </c>
      <c r="B53" s="7" t="str">
        <f aca="false">IF($C53="","",IFERROR(INDEX(案件マスタ!$A$4:$A$23,MATCH($C53,案件マスタ!$B$4:$B$23,0)),"?"))</f>
        <v/>
      </c>
      <c r="C53" s="8"/>
      <c r="D53" s="9"/>
      <c r="E53" s="10"/>
      <c r="F53" s="11"/>
      <c r="G53" s="11"/>
      <c r="H53" s="10"/>
      <c r="I53" s="12"/>
      <c r="J53" s="13" t="str">
        <f aca="true">IF(D53="","",IF(H53="完了","✓ DONE",IF(G53="","⚠ NO DUE",IF(G53&lt;TODAY(),"🔴 OVERDUE",IF(G53=TODAY(),"🟡 TODAY","")))))</f>
        <v/>
      </c>
      <c r="K53" s="14"/>
      <c r="L53" s="15" t="str">
        <f aca="false">IF(A53="","",SUMIFS(工数ログ!$E$4:$E$1003,工数ログ!$D$4:$D$1003,$A53))</f>
        <v/>
      </c>
      <c r="M53" s="9"/>
      <c r="N53" s="9"/>
      <c r="O53" s="11"/>
      <c r="P53" s="11"/>
      <c r="Q53" s="2"/>
      <c r="R53" s="2"/>
    </row>
    <row r="54" customFormat="false" ht="15" hidden="false" customHeight="false" outlineLevel="0" collapsed="false">
      <c r="A54" s="6" t="str">
        <f aca="false">IF(D54="","",ROW()-3)</f>
        <v/>
      </c>
      <c r="B54" s="7" t="str">
        <f aca="false">IF($C54="","",IFERROR(INDEX(案件マスタ!$A$4:$A$23,MATCH($C54,案件マスタ!$B$4:$B$23,0)),"?"))</f>
        <v/>
      </c>
      <c r="C54" s="8"/>
      <c r="D54" s="9"/>
      <c r="E54" s="10"/>
      <c r="F54" s="11"/>
      <c r="G54" s="11"/>
      <c r="H54" s="10"/>
      <c r="I54" s="12"/>
      <c r="J54" s="13" t="str">
        <f aca="true">IF(D54="","",IF(H54="完了","✓ DONE",IF(G54="","⚠ NO DUE",IF(G54&lt;TODAY(),"🔴 OVERDUE",IF(G54=TODAY(),"🟡 TODAY","")))))</f>
        <v/>
      </c>
      <c r="K54" s="14"/>
      <c r="L54" s="15" t="str">
        <f aca="false">IF(A54="","",SUMIFS(工数ログ!$E$4:$E$1003,工数ログ!$D$4:$D$1003,$A54))</f>
        <v/>
      </c>
      <c r="M54" s="9"/>
      <c r="N54" s="9"/>
      <c r="O54" s="11"/>
      <c r="P54" s="11"/>
      <c r="Q54" s="2"/>
      <c r="R54" s="2"/>
    </row>
    <row r="55" customFormat="false" ht="15" hidden="false" customHeight="false" outlineLevel="0" collapsed="false">
      <c r="A55" s="6" t="str">
        <f aca="false">IF(D55="","",ROW()-3)</f>
        <v/>
      </c>
      <c r="B55" s="7" t="str">
        <f aca="false">IF($C55="","",IFERROR(INDEX(案件マスタ!$A$4:$A$23,MATCH($C55,案件マスタ!$B$4:$B$23,0)),"?"))</f>
        <v/>
      </c>
      <c r="C55" s="8"/>
      <c r="D55" s="9"/>
      <c r="E55" s="10"/>
      <c r="F55" s="11"/>
      <c r="G55" s="11"/>
      <c r="H55" s="10"/>
      <c r="I55" s="12"/>
      <c r="J55" s="13" t="str">
        <f aca="true">IF(D55="","",IF(H55="完了","✓ DONE",IF(G55="","⚠ NO DUE",IF(G55&lt;TODAY(),"🔴 OVERDUE",IF(G55=TODAY(),"🟡 TODAY","")))))</f>
        <v/>
      </c>
      <c r="K55" s="14"/>
      <c r="L55" s="15" t="str">
        <f aca="false">IF(A55="","",SUMIFS(工数ログ!$E$4:$E$1003,工数ログ!$D$4:$D$1003,$A55))</f>
        <v/>
      </c>
      <c r="M55" s="9"/>
      <c r="N55" s="9"/>
      <c r="O55" s="11"/>
      <c r="P55" s="11"/>
      <c r="Q55" s="2"/>
      <c r="R55" s="2"/>
    </row>
    <row r="56" customFormat="false" ht="15" hidden="false" customHeight="false" outlineLevel="0" collapsed="false">
      <c r="A56" s="6" t="str">
        <f aca="false">IF(D56="","",ROW()-3)</f>
        <v/>
      </c>
      <c r="B56" s="7" t="str">
        <f aca="false">IF($C56="","",IFERROR(INDEX(案件マスタ!$A$4:$A$23,MATCH($C56,案件マスタ!$B$4:$B$23,0)),"?"))</f>
        <v/>
      </c>
      <c r="C56" s="8"/>
      <c r="D56" s="9"/>
      <c r="E56" s="10"/>
      <c r="F56" s="11"/>
      <c r="G56" s="11"/>
      <c r="H56" s="10"/>
      <c r="I56" s="12"/>
      <c r="J56" s="13" t="str">
        <f aca="true">IF(D56="","",IF(H56="完了","✓ DONE",IF(G56="","⚠ NO DUE",IF(G56&lt;TODAY(),"🔴 OVERDUE",IF(G56=TODAY(),"🟡 TODAY","")))))</f>
        <v/>
      </c>
      <c r="K56" s="14"/>
      <c r="L56" s="15" t="str">
        <f aca="false">IF(A56="","",SUMIFS(工数ログ!$E$4:$E$1003,工数ログ!$D$4:$D$1003,$A56))</f>
        <v/>
      </c>
      <c r="M56" s="9"/>
      <c r="N56" s="9"/>
      <c r="O56" s="11"/>
      <c r="P56" s="11"/>
      <c r="Q56" s="2"/>
      <c r="R56" s="2"/>
    </row>
    <row r="57" customFormat="false" ht="15" hidden="false" customHeight="false" outlineLevel="0" collapsed="false">
      <c r="A57" s="6" t="str">
        <f aca="false">IF(D57="","",ROW()-3)</f>
        <v/>
      </c>
      <c r="B57" s="7" t="str">
        <f aca="false">IF($C57="","",IFERROR(INDEX(案件マスタ!$A$4:$A$23,MATCH($C57,案件マスタ!$B$4:$B$23,0)),"?"))</f>
        <v/>
      </c>
      <c r="C57" s="8"/>
      <c r="D57" s="9"/>
      <c r="E57" s="10"/>
      <c r="F57" s="11"/>
      <c r="G57" s="11"/>
      <c r="H57" s="10"/>
      <c r="I57" s="12"/>
      <c r="J57" s="13" t="str">
        <f aca="true">IF(D57="","",IF(H57="完了","✓ DONE",IF(G57="","⚠ NO DUE",IF(G57&lt;TODAY(),"🔴 OVERDUE",IF(G57=TODAY(),"🟡 TODAY","")))))</f>
        <v/>
      </c>
      <c r="K57" s="14"/>
      <c r="L57" s="15" t="str">
        <f aca="false">IF(A57="","",SUMIFS(工数ログ!$E$4:$E$1003,工数ログ!$D$4:$D$1003,$A57))</f>
        <v/>
      </c>
      <c r="M57" s="9"/>
      <c r="N57" s="9"/>
      <c r="O57" s="11"/>
      <c r="P57" s="11"/>
      <c r="Q57" s="2"/>
      <c r="R57" s="2"/>
    </row>
    <row r="58" customFormat="false" ht="15" hidden="false" customHeight="false" outlineLevel="0" collapsed="false">
      <c r="A58" s="6" t="str">
        <f aca="false">IF(D58="","",ROW()-3)</f>
        <v/>
      </c>
      <c r="B58" s="7" t="str">
        <f aca="false">IF($C58="","",IFERROR(INDEX(案件マスタ!$A$4:$A$23,MATCH($C58,案件マスタ!$B$4:$B$23,0)),"?"))</f>
        <v/>
      </c>
      <c r="C58" s="8"/>
      <c r="D58" s="9"/>
      <c r="E58" s="10"/>
      <c r="F58" s="11"/>
      <c r="G58" s="11"/>
      <c r="H58" s="10"/>
      <c r="I58" s="12"/>
      <c r="J58" s="13" t="str">
        <f aca="true">IF(D58="","",IF(H58="完了","✓ DONE",IF(G58="","⚠ NO DUE",IF(G58&lt;TODAY(),"🔴 OVERDUE",IF(G58=TODAY(),"🟡 TODAY","")))))</f>
        <v/>
      </c>
      <c r="K58" s="14"/>
      <c r="L58" s="15" t="str">
        <f aca="false">IF(A58="","",SUMIFS(工数ログ!$E$4:$E$1003,工数ログ!$D$4:$D$1003,$A58))</f>
        <v/>
      </c>
      <c r="M58" s="9"/>
      <c r="N58" s="9"/>
      <c r="O58" s="11"/>
      <c r="P58" s="11"/>
      <c r="Q58" s="2"/>
      <c r="R58" s="2"/>
    </row>
    <row r="59" customFormat="false" ht="15" hidden="false" customHeight="false" outlineLevel="0" collapsed="false">
      <c r="A59" s="6" t="str">
        <f aca="false">IF(D59="","",ROW()-3)</f>
        <v/>
      </c>
      <c r="B59" s="7" t="str">
        <f aca="false">IF($C59="","",IFERROR(INDEX(案件マスタ!$A$4:$A$23,MATCH($C59,案件マスタ!$B$4:$B$23,0)),"?"))</f>
        <v/>
      </c>
      <c r="C59" s="8"/>
      <c r="D59" s="9"/>
      <c r="E59" s="10"/>
      <c r="F59" s="11"/>
      <c r="G59" s="11"/>
      <c r="H59" s="10"/>
      <c r="I59" s="12"/>
      <c r="J59" s="13" t="str">
        <f aca="true">IF(D59="","",IF(H59="完了","✓ DONE",IF(G59="","⚠ NO DUE",IF(G59&lt;TODAY(),"🔴 OVERDUE",IF(G59=TODAY(),"🟡 TODAY","")))))</f>
        <v/>
      </c>
      <c r="K59" s="14"/>
      <c r="L59" s="15" t="str">
        <f aca="false">IF(A59="","",SUMIFS(工数ログ!$E$4:$E$1003,工数ログ!$D$4:$D$1003,$A59))</f>
        <v/>
      </c>
      <c r="M59" s="9"/>
      <c r="N59" s="9"/>
      <c r="O59" s="11"/>
      <c r="P59" s="11"/>
      <c r="Q59" s="2"/>
      <c r="R59" s="2"/>
    </row>
    <row r="60" customFormat="false" ht="15" hidden="false" customHeight="false" outlineLevel="0" collapsed="false">
      <c r="A60" s="6" t="str">
        <f aca="false">IF(D60="","",ROW()-3)</f>
        <v/>
      </c>
      <c r="B60" s="7" t="str">
        <f aca="false">IF($C60="","",IFERROR(INDEX(案件マスタ!$A$4:$A$23,MATCH($C60,案件マスタ!$B$4:$B$23,0)),"?"))</f>
        <v/>
      </c>
      <c r="C60" s="8"/>
      <c r="D60" s="9"/>
      <c r="E60" s="10"/>
      <c r="F60" s="11"/>
      <c r="G60" s="11"/>
      <c r="H60" s="10"/>
      <c r="I60" s="12"/>
      <c r="J60" s="13" t="str">
        <f aca="true">IF(D60="","",IF(H60="完了","✓ DONE",IF(G60="","⚠ NO DUE",IF(G60&lt;TODAY(),"🔴 OVERDUE",IF(G60=TODAY(),"🟡 TODAY","")))))</f>
        <v/>
      </c>
      <c r="K60" s="14"/>
      <c r="L60" s="15" t="str">
        <f aca="false">IF(A60="","",SUMIFS(工数ログ!$E$4:$E$1003,工数ログ!$D$4:$D$1003,$A60))</f>
        <v/>
      </c>
      <c r="M60" s="9"/>
      <c r="N60" s="9"/>
      <c r="O60" s="11"/>
      <c r="P60" s="11"/>
      <c r="Q60" s="2"/>
      <c r="R60" s="2"/>
    </row>
    <row r="61" customFormat="false" ht="15" hidden="false" customHeight="false" outlineLevel="0" collapsed="false">
      <c r="A61" s="6" t="str">
        <f aca="false">IF(D61="","",ROW()-3)</f>
        <v/>
      </c>
      <c r="B61" s="7" t="str">
        <f aca="false">IF($C61="","",IFERROR(INDEX(案件マスタ!$A$4:$A$23,MATCH($C61,案件マスタ!$B$4:$B$23,0)),"?"))</f>
        <v/>
      </c>
      <c r="C61" s="8"/>
      <c r="D61" s="9"/>
      <c r="E61" s="10"/>
      <c r="F61" s="11"/>
      <c r="G61" s="11"/>
      <c r="H61" s="10"/>
      <c r="I61" s="12"/>
      <c r="J61" s="13" t="str">
        <f aca="true">IF(D61="","",IF(H61="完了","✓ DONE",IF(G61="","⚠ NO DUE",IF(G61&lt;TODAY(),"🔴 OVERDUE",IF(G61=TODAY(),"🟡 TODAY","")))))</f>
        <v/>
      </c>
      <c r="K61" s="14"/>
      <c r="L61" s="15" t="str">
        <f aca="false">IF(A61="","",SUMIFS(工数ログ!$E$4:$E$1003,工数ログ!$D$4:$D$1003,$A61))</f>
        <v/>
      </c>
      <c r="M61" s="9"/>
      <c r="N61" s="9"/>
      <c r="O61" s="11"/>
      <c r="P61" s="11"/>
      <c r="Q61" s="2"/>
      <c r="R61" s="2"/>
    </row>
    <row r="62" customFormat="false" ht="15" hidden="false" customHeight="false" outlineLevel="0" collapsed="false">
      <c r="A62" s="6" t="str">
        <f aca="false">IF(D62="","",ROW()-3)</f>
        <v/>
      </c>
      <c r="B62" s="7" t="str">
        <f aca="false">IF($C62="","",IFERROR(INDEX(案件マスタ!$A$4:$A$23,MATCH($C62,案件マスタ!$B$4:$B$23,0)),"?"))</f>
        <v/>
      </c>
      <c r="C62" s="8"/>
      <c r="D62" s="9"/>
      <c r="E62" s="10"/>
      <c r="F62" s="11"/>
      <c r="G62" s="11"/>
      <c r="H62" s="10"/>
      <c r="I62" s="12"/>
      <c r="J62" s="13" t="str">
        <f aca="true">IF(D62="","",IF(H62="完了","✓ DONE",IF(G62="","⚠ NO DUE",IF(G62&lt;TODAY(),"🔴 OVERDUE",IF(G62=TODAY(),"🟡 TODAY","")))))</f>
        <v/>
      </c>
      <c r="K62" s="14"/>
      <c r="L62" s="15" t="str">
        <f aca="false">IF(A62="","",SUMIFS(工数ログ!$E$4:$E$1003,工数ログ!$D$4:$D$1003,$A62))</f>
        <v/>
      </c>
      <c r="M62" s="9"/>
      <c r="N62" s="9"/>
      <c r="O62" s="11"/>
      <c r="P62" s="11"/>
      <c r="Q62" s="2"/>
      <c r="R62" s="2"/>
    </row>
    <row r="63" customFormat="false" ht="15" hidden="false" customHeight="false" outlineLevel="0" collapsed="false">
      <c r="A63" s="6" t="str">
        <f aca="false">IF(D63="","",ROW()-3)</f>
        <v/>
      </c>
      <c r="B63" s="7" t="str">
        <f aca="false">IF($C63="","",IFERROR(INDEX(案件マスタ!$A$4:$A$23,MATCH($C63,案件マスタ!$B$4:$B$23,0)),"?"))</f>
        <v/>
      </c>
      <c r="C63" s="8"/>
      <c r="D63" s="9"/>
      <c r="E63" s="10"/>
      <c r="F63" s="11"/>
      <c r="G63" s="11"/>
      <c r="H63" s="10"/>
      <c r="I63" s="12"/>
      <c r="J63" s="13" t="str">
        <f aca="true">IF(D63="","",IF(H63="完了","✓ DONE",IF(G63="","⚠ NO DUE",IF(G63&lt;TODAY(),"🔴 OVERDUE",IF(G63=TODAY(),"🟡 TODAY","")))))</f>
        <v/>
      </c>
      <c r="K63" s="14"/>
      <c r="L63" s="15" t="str">
        <f aca="false">IF(A63="","",SUMIFS(工数ログ!$E$4:$E$1003,工数ログ!$D$4:$D$1003,$A63))</f>
        <v/>
      </c>
      <c r="M63" s="9"/>
      <c r="N63" s="9"/>
      <c r="O63" s="11"/>
      <c r="P63" s="11"/>
      <c r="Q63" s="2"/>
      <c r="R63" s="2"/>
    </row>
    <row r="64" customFormat="false" ht="15" hidden="false" customHeight="false" outlineLevel="0" collapsed="false">
      <c r="A64" s="6" t="str">
        <f aca="false">IF(D64="","",ROW()-3)</f>
        <v/>
      </c>
      <c r="B64" s="7" t="str">
        <f aca="false">IF($C64="","",IFERROR(INDEX(案件マスタ!$A$4:$A$23,MATCH($C64,案件マスタ!$B$4:$B$23,0)),"?"))</f>
        <v/>
      </c>
      <c r="C64" s="8"/>
      <c r="D64" s="9"/>
      <c r="E64" s="10"/>
      <c r="F64" s="11"/>
      <c r="G64" s="11"/>
      <c r="H64" s="10"/>
      <c r="I64" s="12"/>
      <c r="J64" s="13" t="str">
        <f aca="true">IF(D64="","",IF(H64="完了","✓ DONE",IF(G64="","⚠ NO DUE",IF(G64&lt;TODAY(),"🔴 OVERDUE",IF(G64=TODAY(),"🟡 TODAY","")))))</f>
        <v/>
      </c>
      <c r="K64" s="14"/>
      <c r="L64" s="15" t="str">
        <f aca="false">IF(A64="","",SUMIFS(工数ログ!$E$4:$E$1003,工数ログ!$D$4:$D$1003,$A64))</f>
        <v/>
      </c>
      <c r="M64" s="9"/>
      <c r="N64" s="9"/>
      <c r="O64" s="11"/>
      <c r="P64" s="11"/>
      <c r="Q64" s="2"/>
      <c r="R64" s="2"/>
    </row>
    <row r="65" customFormat="false" ht="15" hidden="false" customHeight="false" outlineLevel="0" collapsed="false">
      <c r="A65" s="6" t="str">
        <f aca="false">IF(D65="","",ROW()-3)</f>
        <v/>
      </c>
      <c r="B65" s="7" t="str">
        <f aca="false">IF($C65="","",IFERROR(INDEX(案件マスタ!$A$4:$A$23,MATCH($C65,案件マスタ!$B$4:$B$23,0)),"?"))</f>
        <v/>
      </c>
      <c r="C65" s="8"/>
      <c r="D65" s="9"/>
      <c r="E65" s="10"/>
      <c r="F65" s="11"/>
      <c r="G65" s="11"/>
      <c r="H65" s="10"/>
      <c r="I65" s="12"/>
      <c r="J65" s="13" t="str">
        <f aca="true">IF(D65="","",IF(H65="完了","✓ DONE",IF(G65="","⚠ NO DUE",IF(G65&lt;TODAY(),"🔴 OVERDUE",IF(G65=TODAY(),"🟡 TODAY","")))))</f>
        <v/>
      </c>
      <c r="K65" s="14"/>
      <c r="L65" s="15" t="str">
        <f aca="false">IF(A65="","",SUMIFS(工数ログ!$E$4:$E$1003,工数ログ!$D$4:$D$1003,$A65))</f>
        <v/>
      </c>
      <c r="M65" s="9"/>
      <c r="N65" s="9"/>
      <c r="O65" s="11"/>
      <c r="P65" s="11"/>
      <c r="Q65" s="2"/>
      <c r="R65" s="2"/>
    </row>
    <row r="66" customFormat="false" ht="15" hidden="false" customHeight="false" outlineLevel="0" collapsed="false">
      <c r="A66" s="6" t="str">
        <f aca="false">IF(D66="","",ROW()-3)</f>
        <v/>
      </c>
      <c r="B66" s="7" t="str">
        <f aca="false">IF($C66="","",IFERROR(INDEX(案件マスタ!$A$4:$A$23,MATCH($C66,案件マスタ!$B$4:$B$23,0)),"?"))</f>
        <v/>
      </c>
      <c r="C66" s="8"/>
      <c r="D66" s="9"/>
      <c r="E66" s="10"/>
      <c r="F66" s="11"/>
      <c r="G66" s="11"/>
      <c r="H66" s="10"/>
      <c r="I66" s="12"/>
      <c r="J66" s="13" t="str">
        <f aca="true">IF(D66="","",IF(H66="完了","✓ DONE",IF(G66="","⚠ NO DUE",IF(G66&lt;TODAY(),"🔴 OVERDUE",IF(G66=TODAY(),"🟡 TODAY","")))))</f>
        <v/>
      </c>
      <c r="K66" s="14"/>
      <c r="L66" s="15" t="str">
        <f aca="false">IF(A66="","",SUMIFS(工数ログ!$E$4:$E$1003,工数ログ!$D$4:$D$1003,$A66))</f>
        <v/>
      </c>
      <c r="M66" s="9"/>
      <c r="N66" s="9"/>
      <c r="O66" s="11"/>
      <c r="P66" s="11"/>
      <c r="Q66" s="2"/>
      <c r="R66" s="2"/>
    </row>
    <row r="67" customFormat="false" ht="15" hidden="false" customHeight="false" outlineLevel="0" collapsed="false">
      <c r="A67" s="6" t="str">
        <f aca="false">IF(D67="","",ROW()-3)</f>
        <v/>
      </c>
      <c r="B67" s="7" t="str">
        <f aca="false">IF($C67="","",IFERROR(INDEX(案件マスタ!$A$4:$A$23,MATCH($C67,案件マスタ!$B$4:$B$23,0)),"?"))</f>
        <v/>
      </c>
      <c r="C67" s="8"/>
      <c r="D67" s="9"/>
      <c r="E67" s="10"/>
      <c r="F67" s="11"/>
      <c r="G67" s="11"/>
      <c r="H67" s="10"/>
      <c r="I67" s="12"/>
      <c r="J67" s="13" t="str">
        <f aca="true">IF(D67="","",IF(H67="完了","✓ DONE",IF(G67="","⚠ NO DUE",IF(G67&lt;TODAY(),"🔴 OVERDUE",IF(G67=TODAY(),"🟡 TODAY","")))))</f>
        <v/>
      </c>
      <c r="K67" s="14"/>
      <c r="L67" s="15" t="str">
        <f aca="false">IF(A67="","",SUMIFS(工数ログ!$E$4:$E$1003,工数ログ!$D$4:$D$1003,$A67))</f>
        <v/>
      </c>
      <c r="M67" s="9"/>
      <c r="N67" s="9"/>
      <c r="O67" s="11"/>
      <c r="P67" s="11"/>
      <c r="Q67" s="2"/>
      <c r="R67" s="2"/>
    </row>
    <row r="68" customFormat="false" ht="15" hidden="false" customHeight="false" outlineLevel="0" collapsed="false">
      <c r="A68" s="6" t="str">
        <f aca="false">IF(D68="","",ROW()-3)</f>
        <v/>
      </c>
      <c r="B68" s="7" t="str">
        <f aca="false">IF($C68="","",IFERROR(INDEX(案件マスタ!$A$4:$A$23,MATCH($C68,案件マスタ!$B$4:$B$23,0)),"?"))</f>
        <v/>
      </c>
      <c r="C68" s="8"/>
      <c r="D68" s="9"/>
      <c r="E68" s="10"/>
      <c r="F68" s="11"/>
      <c r="G68" s="11"/>
      <c r="H68" s="10"/>
      <c r="I68" s="12"/>
      <c r="J68" s="13" t="str">
        <f aca="true">IF(D68="","",IF(H68="完了","✓ DONE",IF(G68="","⚠ NO DUE",IF(G68&lt;TODAY(),"🔴 OVERDUE",IF(G68=TODAY(),"🟡 TODAY","")))))</f>
        <v/>
      </c>
      <c r="K68" s="14"/>
      <c r="L68" s="15" t="str">
        <f aca="false">IF(A68="","",SUMIFS(工数ログ!$E$4:$E$1003,工数ログ!$D$4:$D$1003,$A68))</f>
        <v/>
      </c>
      <c r="M68" s="9"/>
      <c r="N68" s="9"/>
      <c r="O68" s="11"/>
      <c r="P68" s="11"/>
      <c r="Q68" s="2"/>
      <c r="R68" s="2"/>
    </row>
    <row r="69" customFormat="false" ht="15" hidden="false" customHeight="false" outlineLevel="0" collapsed="false">
      <c r="A69" s="6" t="str">
        <f aca="false">IF(D69="","",ROW()-3)</f>
        <v/>
      </c>
      <c r="B69" s="7" t="str">
        <f aca="false">IF($C69="","",IFERROR(INDEX(案件マスタ!$A$4:$A$23,MATCH($C69,案件マスタ!$B$4:$B$23,0)),"?"))</f>
        <v/>
      </c>
      <c r="C69" s="8"/>
      <c r="D69" s="9"/>
      <c r="E69" s="10"/>
      <c r="F69" s="11"/>
      <c r="G69" s="11"/>
      <c r="H69" s="10"/>
      <c r="I69" s="12"/>
      <c r="J69" s="13" t="str">
        <f aca="true">IF(D69="","",IF(H69="完了","✓ DONE",IF(G69="","⚠ NO DUE",IF(G69&lt;TODAY(),"🔴 OVERDUE",IF(G69=TODAY(),"🟡 TODAY","")))))</f>
        <v/>
      </c>
      <c r="K69" s="14"/>
      <c r="L69" s="15" t="str">
        <f aca="false">IF(A69="","",SUMIFS(工数ログ!$E$4:$E$1003,工数ログ!$D$4:$D$1003,$A69))</f>
        <v/>
      </c>
      <c r="M69" s="9"/>
      <c r="N69" s="9"/>
      <c r="O69" s="11"/>
      <c r="P69" s="11"/>
      <c r="Q69" s="2"/>
      <c r="R69" s="2"/>
    </row>
    <row r="70" customFormat="false" ht="15" hidden="false" customHeight="false" outlineLevel="0" collapsed="false">
      <c r="A70" s="6" t="str">
        <f aca="false">IF(D70="","",ROW()-3)</f>
        <v/>
      </c>
      <c r="B70" s="7" t="str">
        <f aca="false">IF($C70="","",IFERROR(INDEX(案件マスタ!$A$4:$A$23,MATCH($C70,案件マスタ!$B$4:$B$23,0)),"?"))</f>
        <v/>
      </c>
      <c r="C70" s="8"/>
      <c r="D70" s="9"/>
      <c r="E70" s="10"/>
      <c r="F70" s="11"/>
      <c r="G70" s="11"/>
      <c r="H70" s="10"/>
      <c r="I70" s="12"/>
      <c r="J70" s="13" t="str">
        <f aca="true">IF(D70="","",IF(H70="完了","✓ DONE",IF(G70="","⚠ NO DUE",IF(G70&lt;TODAY(),"🔴 OVERDUE",IF(G70=TODAY(),"🟡 TODAY","")))))</f>
        <v/>
      </c>
      <c r="K70" s="14"/>
      <c r="L70" s="15" t="str">
        <f aca="false">IF(A70="","",SUMIFS(工数ログ!$E$4:$E$1003,工数ログ!$D$4:$D$1003,$A70))</f>
        <v/>
      </c>
      <c r="M70" s="9"/>
      <c r="N70" s="9"/>
      <c r="O70" s="11"/>
      <c r="P70" s="11"/>
      <c r="Q70" s="2"/>
      <c r="R70" s="2"/>
    </row>
    <row r="71" customFormat="false" ht="15" hidden="false" customHeight="false" outlineLevel="0" collapsed="false">
      <c r="A71" s="6" t="str">
        <f aca="false">IF(D71="","",ROW()-3)</f>
        <v/>
      </c>
      <c r="B71" s="7" t="str">
        <f aca="false">IF($C71="","",IFERROR(INDEX(案件マスタ!$A$4:$A$23,MATCH($C71,案件マスタ!$B$4:$B$23,0)),"?"))</f>
        <v/>
      </c>
      <c r="C71" s="8"/>
      <c r="D71" s="9"/>
      <c r="E71" s="10"/>
      <c r="F71" s="11"/>
      <c r="G71" s="11"/>
      <c r="H71" s="10"/>
      <c r="I71" s="12"/>
      <c r="J71" s="13" t="str">
        <f aca="true">IF(D71="","",IF(H71="完了","✓ DONE",IF(G71="","⚠ NO DUE",IF(G71&lt;TODAY(),"🔴 OVERDUE",IF(G71=TODAY(),"🟡 TODAY","")))))</f>
        <v/>
      </c>
      <c r="K71" s="14"/>
      <c r="L71" s="15" t="str">
        <f aca="false">IF(A71="","",SUMIFS(工数ログ!$E$4:$E$1003,工数ログ!$D$4:$D$1003,$A71))</f>
        <v/>
      </c>
      <c r="M71" s="9"/>
      <c r="N71" s="9"/>
      <c r="O71" s="11"/>
      <c r="P71" s="11"/>
      <c r="Q71" s="2"/>
      <c r="R71" s="2"/>
    </row>
    <row r="72" customFormat="false" ht="15" hidden="false" customHeight="false" outlineLevel="0" collapsed="false">
      <c r="A72" s="6" t="str">
        <f aca="false">IF(D72="","",ROW()-3)</f>
        <v/>
      </c>
      <c r="B72" s="7" t="str">
        <f aca="false">IF($C72="","",IFERROR(INDEX(案件マスタ!$A$4:$A$23,MATCH($C72,案件マスタ!$B$4:$B$23,0)),"?"))</f>
        <v/>
      </c>
      <c r="C72" s="8"/>
      <c r="D72" s="9"/>
      <c r="E72" s="10"/>
      <c r="F72" s="11"/>
      <c r="G72" s="11"/>
      <c r="H72" s="10"/>
      <c r="I72" s="12"/>
      <c r="J72" s="13" t="str">
        <f aca="true">IF(D72="","",IF(H72="完了","✓ DONE",IF(G72="","⚠ NO DUE",IF(G72&lt;TODAY(),"🔴 OVERDUE",IF(G72=TODAY(),"🟡 TODAY","")))))</f>
        <v/>
      </c>
      <c r="K72" s="14"/>
      <c r="L72" s="15" t="str">
        <f aca="false">IF(A72="","",SUMIFS(工数ログ!$E$4:$E$1003,工数ログ!$D$4:$D$1003,$A72))</f>
        <v/>
      </c>
      <c r="M72" s="9"/>
      <c r="N72" s="9"/>
      <c r="O72" s="11"/>
      <c r="P72" s="11"/>
      <c r="Q72" s="2"/>
      <c r="R72" s="2"/>
    </row>
    <row r="73" customFormat="false" ht="15" hidden="false" customHeight="false" outlineLevel="0" collapsed="false">
      <c r="A73" s="6" t="str">
        <f aca="false">IF(D73="","",ROW()-3)</f>
        <v/>
      </c>
      <c r="B73" s="7" t="str">
        <f aca="false">IF($C73="","",IFERROR(INDEX(案件マスタ!$A$4:$A$23,MATCH($C73,案件マスタ!$B$4:$B$23,0)),"?"))</f>
        <v/>
      </c>
      <c r="C73" s="8"/>
      <c r="D73" s="9"/>
      <c r="E73" s="10"/>
      <c r="F73" s="11"/>
      <c r="G73" s="11"/>
      <c r="H73" s="10"/>
      <c r="I73" s="12"/>
      <c r="J73" s="13" t="str">
        <f aca="true">IF(D73="","",IF(H73="完了","✓ DONE",IF(G73="","⚠ NO DUE",IF(G73&lt;TODAY(),"🔴 OVERDUE",IF(G73=TODAY(),"🟡 TODAY","")))))</f>
        <v/>
      </c>
      <c r="K73" s="14"/>
      <c r="L73" s="15" t="str">
        <f aca="false">IF(A73="","",SUMIFS(工数ログ!$E$4:$E$1003,工数ログ!$D$4:$D$1003,$A73))</f>
        <v/>
      </c>
      <c r="M73" s="9"/>
      <c r="N73" s="9"/>
      <c r="O73" s="11"/>
      <c r="P73" s="11"/>
      <c r="Q73" s="2"/>
      <c r="R73" s="2"/>
    </row>
    <row r="74" customFormat="false" ht="15" hidden="false" customHeight="false" outlineLevel="0" collapsed="false">
      <c r="A74" s="6" t="str">
        <f aca="false">IF(D74="","",ROW()-3)</f>
        <v/>
      </c>
      <c r="B74" s="7" t="str">
        <f aca="false">IF($C74="","",IFERROR(INDEX(案件マスタ!$A$4:$A$23,MATCH($C74,案件マスタ!$B$4:$B$23,0)),"?"))</f>
        <v/>
      </c>
      <c r="C74" s="8"/>
      <c r="D74" s="9"/>
      <c r="E74" s="10"/>
      <c r="F74" s="11"/>
      <c r="G74" s="11"/>
      <c r="H74" s="10"/>
      <c r="I74" s="12"/>
      <c r="J74" s="13" t="str">
        <f aca="true">IF(D74="","",IF(H74="完了","✓ DONE",IF(G74="","⚠ NO DUE",IF(G74&lt;TODAY(),"🔴 OVERDUE",IF(G74=TODAY(),"🟡 TODAY","")))))</f>
        <v/>
      </c>
      <c r="K74" s="14"/>
      <c r="L74" s="15" t="str">
        <f aca="false">IF(A74="","",SUMIFS(工数ログ!$E$4:$E$1003,工数ログ!$D$4:$D$1003,$A74))</f>
        <v/>
      </c>
      <c r="M74" s="9"/>
      <c r="N74" s="9"/>
      <c r="O74" s="11"/>
      <c r="P74" s="11"/>
      <c r="Q74" s="2"/>
      <c r="R74" s="2"/>
    </row>
    <row r="75" customFormat="false" ht="15" hidden="false" customHeight="false" outlineLevel="0" collapsed="false">
      <c r="A75" s="6" t="str">
        <f aca="false">IF(D75="","",ROW()-3)</f>
        <v/>
      </c>
      <c r="B75" s="7" t="str">
        <f aca="false">IF($C75="","",IFERROR(INDEX(案件マスタ!$A$4:$A$23,MATCH($C75,案件マスタ!$B$4:$B$23,0)),"?"))</f>
        <v/>
      </c>
      <c r="C75" s="8"/>
      <c r="D75" s="9"/>
      <c r="E75" s="10"/>
      <c r="F75" s="11"/>
      <c r="G75" s="11"/>
      <c r="H75" s="10"/>
      <c r="I75" s="12"/>
      <c r="J75" s="13" t="str">
        <f aca="true">IF(D75="","",IF(H75="完了","✓ DONE",IF(G75="","⚠ NO DUE",IF(G75&lt;TODAY(),"🔴 OVERDUE",IF(G75=TODAY(),"🟡 TODAY","")))))</f>
        <v/>
      </c>
      <c r="K75" s="14"/>
      <c r="L75" s="15" t="str">
        <f aca="false">IF(A75="","",SUMIFS(工数ログ!$E$4:$E$1003,工数ログ!$D$4:$D$1003,$A75))</f>
        <v/>
      </c>
      <c r="M75" s="9"/>
      <c r="N75" s="9"/>
      <c r="O75" s="11"/>
      <c r="P75" s="11"/>
      <c r="Q75" s="2"/>
      <c r="R75" s="2"/>
    </row>
    <row r="76" customFormat="false" ht="15" hidden="false" customHeight="false" outlineLevel="0" collapsed="false">
      <c r="A76" s="6" t="str">
        <f aca="false">IF(D76="","",ROW()-3)</f>
        <v/>
      </c>
      <c r="B76" s="7" t="str">
        <f aca="false">IF($C76="","",IFERROR(INDEX(案件マスタ!$A$4:$A$23,MATCH($C76,案件マスタ!$B$4:$B$23,0)),"?"))</f>
        <v/>
      </c>
      <c r="C76" s="8"/>
      <c r="D76" s="9"/>
      <c r="E76" s="10"/>
      <c r="F76" s="11"/>
      <c r="G76" s="11"/>
      <c r="H76" s="10"/>
      <c r="I76" s="12"/>
      <c r="J76" s="13" t="str">
        <f aca="true">IF(D76="","",IF(H76="完了","✓ DONE",IF(G76="","⚠ NO DUE",IF(G76&lt;TODAY(),"🔴 OVERDUE",IF(G76=TODAY(),"🟡 TODAY","")))))</f>
        <v/>
      </c>
      <c r="K76" s="14"/>
      <c r="L76" s="15" t="str">
        <f aca="false">IF(A76="","",SUMIFS(工数ログ!$E$4:$E$1003,工数ログ!$D$4:$D$1003,$A76))</f>
        <v/>
      </c>
      <c r="M76" s="9"/>
      <c r="N76" s="9"/>
      <c r="O76" s="11"/>
      <c r="P76" s="11"/>
      <c r="Q76" s="2"/>
      <c r="R76" s="2"/>
    </row>
    <row r="77" customFormat="false" ht="15" hidden="false" customHeight="false" outlineLevel="0" collapsed="false">
      <c r="A77" s="6" t="str">
        <f aca="false">IF(D77="","",ROW()-3)</f>
        <v/>
      </c>
      <c r="B77" s="7" t="str">
        <f aca="false">IF($C77="","",IFERROR(INDEX(案件マスタ!$A$4:$A$23,MATCH($C77,案件マスタ!$B$4:$B$23,0)),"?"))</f>
        <v/>
      </c>
      <c r="C77" s="8"/>
      <c r="D77" s="9"/>
      <c r="E77" s="10"/>
      <c r="F77" s="11"/>
      <c r="G77" s="11"/>
      <c r="H77" s="10"/>
      <c r="I77" s="12"/>
      <c r="J77" s="13" t="str">
        <f aca="true">IF(D77="","",IF(H77="完了","✓ DONE",IF(G77="","⚠ NO DUE",IF(G77&lt;TODAY(),"🔴 OVERDUE",IF(G77=TODAY(),"🟡 TODAY","")))))</f>
        <v/>
      </c>
      <c r="K77" s="14"/>
      <c r="L77" s="15" t="str">
        <f aca="false">IF(A77="","",SUMIFS(工数ログ!$E$4:$E$1003,工数ログ!$D$4:$D$1003,$A77))</f>
        <v/>
      </c>
      <c r="M77" s="9"/>
      <c r="N77" s="9"/>
      <c r="O77" s="11"/>
      <c r="P77" s="11"/>
      <c r="Q77" s="2"/>
      <c r="R77" s="2"/>
    </row>
    <row r="78" customFormat="false" ht="15" hidden="false" customHeight="false" outlineLevel="0" collapsed="false">
      <c r="A78" s="6" t="str">
        <f aca="false">IF(D78="","",ROW()-3)</f>
        <v/>
      </c>
      <c r="B78" s="7" t="str">
        <f aca="false">IF($C78="","",IFERROR(INDEX(案件マスタ!$A$4:$A$23,MATCH($C78,案件マスタ!$B$4:$B$23,0)),"?"))</f>
        <v/>
      </c>
      <c r="C78" s="8"/>
      <c r="D78" s="9"/>
      <c r="E78" s="10"/>
      <c r="F78" s="11"/>
      <c r="G78" s="11"/>
      <c r="H78" s="10"/>
      <c r="I78" s="12"/>
      <c r="J78" s="13" t="str">
        <f aca="true">IF(D78="","",IF(H78="完了","✓ DONE",IF(G78="","⚠ NO DUE",IF(G78&lt;TODAY(),"🔴 OVERDUE",IF(G78=TODAY(),"🟡 TODAY","")))))</f>
        <v/>
      </c>
      <c r="K78" s="14"/>
      <c r="L78" s="15" t="str">
        <f aca="false">IF(A78="","",SUMIFS(工数ログ!$E$4:$E$1003,工数ログ!$D$4:$D$1003,$A78))</f>
        <v/>
      </c>
      <c r="M78" s="9"/>
      <c r="N78" s="9"/>
      <c r="O78" s="11"/>
      <c r="P78" s="11"/>
      <c r="Q78" s="2"/>
      <c r="R78" s="2"/>
    </row>
    <row r="79" customFormat="false" ht="15" hidden="false" customHeight="false" outlineLevel="0" collapsed="false">
      <c r="A79" s="6" t="str">
        <f aca="false">IF(D79="","",ROW()-3)</f>
        <v/>
      </c>
      <c r="B79" s="7" t="str">
        <f aca="false">IF($C79="","",IFERROR(INDEX(案件マスタ!$A$4:$A$23,MATCH($C79,案件マスタ!$B$4:$B$23,0)),"?"))</f>
        <v/>
      </c>
      <c r="C79" s="8"/>
      <c r="D79" s="9"/>
      <c r="E79" s="10"/>
      <c r="F79" s="11"/>
      <c r="G79" s="11"/>
      <c r="H79" s="10"/>
      <c r="I79" s="12"/>
      <c r="J79" s="13" t="str">
        <f aca="true">IF(D79="","",IF(H79="完了","✓ DONE",IF(G79="","⚠ NO DUE",IF(G79&lt;TODAY(),"🔴 OVERDUE",IF(G79=TODAY(),"🟡 TODAY","")))))</f>
        <v/>
      </c>
      <c r="K79" s="14"/>
      <c r="L79" s="15" t="str">
        <f aca="false">IF(A79="","",SUMIFS(工数ログ!$E$4:$E$1003,工数ログ!$D$4:$D$1003,$A79))</f>
        <v/>
      </c>
      <c r="M79" s="9"/>
      <c r="N79" s="9"/>
      <c r="O79" s="11"/>
      <c r="P79" s="11"/>
      <c r="Q79" s="2"/>
      <c r="R79" s="2"/>
    </row>
    <row r="80" customFormat="false" ht="15" hidden="false" customHeight="false" outlineLevel="0" collapsed="false">
      <c r="A80" s="6" t="str">
        <f aca="false">IF(D80="","",ROW()-3)</f>
        <v/>
      </c>
      <c r="B80" s="7" t="str">
        <f aca="false">IF($C80="","",IFERROR(INDEX(案件マスタ!$A$4:$A$23,MATCH($C80,案件マスタ!$B$4:$B$23,0)),"?"))</f>
        <v/>
      </c>
      <c r="C80" s="8"/>
      <c r="D80" s="9"/>
      <c r="E80" s="10"/>
      <c r="F80" s="11"/>
      <c r="G80" s="11"/>
      <c r="H80" s="10"/>
      <c r="I80" s="12"/>
      <c r="J80" s="13" t="str">
        <f aca="true">IF(D80="","",IF(H80="完了","✓ DONE",IF(G80="","⚠ NO DUE",IF(G80&lt;TODAY(),"🔴 OVERDUE",IF(G80=TODAY(),"🟡 TODAY","")))))</f>
        <v/>
      </c>
      <c r="K80" s="14"/>
      <c r="L80" s="15" t="str">
        <f aca="false">IF(A80="","",SUMIFS(工数ログ!$E$4:$E$1003,工数ログ!$D$4:$D$1003,$A80))</f>
        <v/>
      </c>
      <c r="M80" s="9"/>
      <c r="N80" s="9"/>
      <c r="O80" s="11"/>
      <c r="P80" s="11"/>
      <c r="Q80" s="2"/>
      <c r="R80" s="2"/>
    </row>
    <row r="81" customFormat="false" ht="15" hidden="false" customHeight="false" outlineLevel="0" collapsed="false">
      <c r="A81" s="6" t="str">
        <f aca="false">IF(D81="","",ROW()-3)</f>
        <v/>
      </c>
      <c r="B81" s="7" t="str">
        <f aca="false">IF($C81="","",IFERROR(INDEX(案件マスタ!$A$4:$A$23,MATCH($C81,案件マスタ!$B$4:$B$23,0)),"?"))</f>
        <v/>
      </c>
      <c r="C81" s="8"/>
      <c r="D81" s="9"/>
      <c r="E81" s="10"/>
      <c r="F81" s="11"/>
      <c r="G81" s="11"/>
      <c r="H81" s="10"/>
      <c r="I81" s="12"/>
      <c r="J81" s="13" t="str">
        <f aca="true">IF(D81="","",IF(H81="完了","✓ DONE",IF(G81="","⚠ NO DUE",IF(G81&lt;TODAY(),"🔴 OVERDUE",IF(G81=TODAY(),"🟡 TODAY","")))))</f>
        <v/>
      </c>
      <c r="K81" s="14"/>
      <c r="L81" s="15" t="str">
        <f aca="false">IF(A81="","",SUMIFS(工数ログ!$E$4:$E$1003,工数ログ!$D$4:$D$1003,$A81))</f>
        <v/>
      </c>
      <c r="M81" s="9"/>
      <c r="N81" s="9"/>
      <c r="O81" s="11"/>
      <c r="P81" s="11"/>
      <c r="Q81" s="2"/>
      <c r="R81" s="2"/>
    </row>
    <row r="82" customFormat="false" ht="15" hidden="false" customHeight="false" outlineLevel="0" collapsed="false">
      <c r="A82" s="6" t="str">
        <f aca="false">IF(D82="","",ROW()-3)</f>
        <v/>
      </c>
      <c r="B82" s="7" t="str">
        <f aca="false">IF($C82="","",IFERROR(INDEX(案件マスタ!$A$4:$A$23,MATCH($C82,案件マスタ!$B$4:$B$23,0)),"?"))</f>
        <v/>
      </c>
      <c r="C82" s="8"/>
      <c r="D82" s="9"/>
      <c r="E82" s="10"/>
      <c r="F82" s="11"/>
      <c r="G82" s="11"/>
      <c r="H82" s="10"/>
      <c r="I82" s="12"/>
      <c r="J82" s="13" t="str">
        <f aca="true">IF(D82="","",IF(H82="完了","✓ DONE",IF(G82="","⚠ NO DUE",IF(G82&lt;TODAY(),"🔴 OVERDUE",IF(G82=TODAY(),"🟡 TODAY","")))))</f>
        <v/>
      </c>
      <c r="K82" s="14"/>
      <c r="L82" s="15" t="str">
        <f aca="false">IF(A82="","",SUMIFS(工数ログ!$E$4:$E$1003,工数ログ!$D$4:$D$1003,$A82))</f>
        <v/>
      </c>
      <c r="M82" s="9"/>
      <c r="N82" s="9"/>
      <c r="O82" s="11"/>
      <c r="P82" s="11"/>
      <c r="Q82" s="2"/>
      <c r="R82" s="2"/>
    </row>
    <row r="83" customFormat="false" ht="15" hidden="false" customHeight="false" outlineLevel="0" collapsed="false">
      <c r="A83" s="6" t="str">
        <f aca="false">IF(D83="","",ROW()-3)</f>
        <v/>
      </c>
      <c r="B83" s="7" t="str">
        <f aca="false">IF($C83="","",IFERROR(INDEX(案件マスタ!$A$4:$A$23,MATCH($C83,案件マスタ!$B$4:$B$23,0)),"?"))</f>
        <v/>
      </c>
      <c r="C83" s="8"/>
      <c r="D83" s="9"/>
      <c r="E83" s="10"/>
      <c r="F83" s="11"/>
      <c r="G83" s="11"/>
      <c r="H83" s="10"/>
      <c r="I83" s="12"/>
      <c r="J83" s="13" t="str">
        <f aca="true">IF(D83="","",IF(H83="完了","✓ DONE",IF(G83="","⚠ NO DUE",IF(G83&lt;TODAY(),"🔴 OVERDUE",IF(G83=TODAY(),"🟡 TODAY","")))))</f>
        <v/>
      </c>
      <c r="K83" s="14"/>
      <c r="L83" s="15" t="str">
        <f aca="false">IF(A83="","",SUMIFS(工数ログ!$E$4:$E$1003,工数ログ!$D$4:$D$1003,$A83))</f>
        <v/>
      </c>
      <c r="M83" s="9"/>
      <c r="N83" s="9"/>
      <c r="O83" s="11"/>
      <c r="P83" s="11"/>
      <c r="Q83" s="2"/>
      <c r="R83" s="2"/>
    </row>
    <row r="84" customFormat="false" ht="15" hidden="false" customHeight="false" outlineLevel="0" collapsed="false">
      <c r="A84" s="6" t="str">
        <f aca="false">IF(D84="","",ROW()-3)</f>
        <v/>
      </c>
      <c r="B84" s="7" t="str">
        <f aca="false">IF($C84="","",IFERROR(INDEX(案件マスタ!$A$4:$A$23,MATCH($C84,案件マスタ!$B$4:$B$23,0)),"?"))</f>
        <v/>
      </c>
      <c r="C84" s="8"/>
      <c r="D84" s="9"/>
      <c r="E84" s="10"/>
      <c r="F84" s="11"/>
      <c r="G84" s="11"/>
      <c r="H84" s="10"/>
      <c r="I84" s="12"/>
      <c r="J84" s="13" t="str">
        <f aca="true">IF(D84="","",IF(H84="完了","✓ DONE",IF(G84="","⚠ NO DUE",IF(G84&lt;TODAY(),"🔴 OVERDUE",IF(G84=TODAY(),"🟡 TODAY","")))))</f>
        <v/>
      </c>
      <c r="K84" s="14"/>
      <c r="L84" s="15" t="str">
        <f aca="false">IF(A84="","",SUMIFS(工数ログ!$E$4:$E$1003,工数ログ!$D$4:$D$1003,$A84))</f>
        <v/>
      </c>
      <c r="M84" s="9"/>
      <c r="N84" s="9"/>
      <c r="O84" s="11"/>
      <c r="P84" s="11"/>
      <c r="Q84" s="2"/>
      <c r="R84" s="2"/>
    </row>
    <row r="85" customFormat="false" ht="15" hidden="false" customHeight="false" outlineLevel="0" collapsed="false">
      <c r="A85" s="6" t="str">
        <f aca="false">IF(D85="","",ROW()-3)</f>
        <v/>
      </c>
      <c r="B85" s="7" t="str">
        <f aca="false">IF($C85="","",IFERROR(INDEX(案件マスタ!$A$4:$A$23,MATCH($C85,案件マスタ!$B$4:$B$23,0)),"?"))</f>
        <v/>
      </c>
      <c r="C85" s="8"/>
      <c r="D85" s="9"/>
      <c r="E85" s="10"/>
      <c r="F85" s="11"/>
      <c r="G85" s="11"/>
      <c r="H85" s="10"/>
      <c r="I85" s="12"/>
      <c r="J85" s="13" t="str">
        <f aca="true">IF(D85="","",IF(H85="完了","✓ DONE",IF(G85="","⚠ NO DUE",IF(G85&lt;TODAY(),"🔴 OVERDUE",IF(G85=TODAY(),"🟡 TODAY","")))))</f>
        <v/>
      </c>
      <c r="K85" s="14"/>
      <c r="L85" s="15" t="str">
        <f aca="false">IF(A85="","",SUMIFS(工数ログ!$E$4:$E$1003,工数ログ!$D$4:$D$1003,$A85))</f>
        <v/>
      </c>
      <c r="M85" s="9"/>
      <c r="N85" s="9"/>
      <c r="O85" s="11"/>
      <c r="P85" s="11"/>
      <c r="Q85" s="2"/>
      <c r="R85" s="2"/>
    </row>
    <row r="86" customFormat="false" ht="15" hidden="false" customHeight="false" outlineLevel="0" collapsed="false">
      <c r="A86" s="6" t="str">
        <f aca="false">IF(D86="","",ROW()-3)</f>
        <v/>
      </c>
      <c r="B86" s="7" t="str">
        <f aca="false">IF($C86="","",IFERROR(INDEX(案件マスタ!$A$4:$A$23,MATCH($C86,案件マスタ!$B$4:$B$23,0)),"?"))</f>
        <v/>
      </c>
      <c r="C86" s="8"/>
      <c r="D86" s="9"/>
      <c r="E86" s="10"/>
      <c r="F86" s="11"/>
      <c r="G86" s="11"/>
      <c r="H86" s="10"/>
      <c r="I86" s="12"/>
      <c r="J86" s="13" t="str">
        <f aca="true">IF(D86="","",IF(H86="完了","✓ DONE",IF(G86="","⚠ NO DUE",IF(G86&lt;TODAY(),"🔴 OVERDUE",IF(G86=TODAY(),"🟡 TODAY","")))))</f>
        <v/>
      </c>
      <c r="K86" s="14"/>
      <c r="L86" s="15" t="str">
        <f aca="false">IF(A86="","",SUMIFS(工数ログ!$E$4:$E$1003,工数ログ!$D$4:$D$1003,$A86))</f>
        <v/>
      </c>
      <c r="M86" s="9"/>
      <c r="N86" s="9"/>
      <c r="O86" s="11"/>
      <c r="P86" s="11"/>
      <c r="Q86" s="2"/>
      <c r="R86" s="2"/>
    </row>
    <row r="87" customFormat="false" ht="15" hidden="false" customHeight="false" outlineLevel="0" collapsed="false">
      <c r="A87" s="6" t="str">
        <f aca="false">IF(D87="","",ROW()-3)</f>
        <v/>
      </c>
      <c r="B87" s="7" t="str">
        <f aca="false">IF($C87="","",IFERROR(INDEX(案件マスタ!$A$4:$A$23,MATCH($C87,案件マスタ!$B$4:$B$23,0)),"?"))</f>
        <v/>
      </c>
      <c r="C87" s="8"/>
      <c r="D87" s="9"/>
      <c r="E87" s="10"/>
      <c r="F87" s="11"/>
      <c r="G87" s="11"/>
      <c r="H87" s="10"/>
      <c r="I87" s="12"/>
      <c r="J87" s="13" t="str">
        <f aca="true">IF(D87="","",IF(H87="完了","✓ DONE",IF(G87="","⚠ NO DUE",IF(G87&lt;TODAY(),"🔴 OVERDUE",IF(G87=TODAY(),"🟡 TODAY","")))))</f>
        <v/>
      </c>
      <c r="K87" s="14"/>
      <c r="L87" s="15" t="str">
        <f aca="false">IF(A87="","",SUMIFS(工数ログ!$E$4:$E$1003,工数ログ!$D$4:$D$1003,$A87))</f>
        <v/>
      </c>
      <c r="M87" s="9"/>
      <c r="N87" s="9"/>
      <c r="O87" s="11"/>
      <c r="P87" s="11"/>
      <c r="Q87" s="2"/>
      <c r="R87" s="2"/>
    </row>
    <row r="88" customFormat="false" ht="15" hidden="false" customHeight="false" outlineLevel="0" collapsed="false">
      <c r="A88" s="6" t="str">
        <f aca="false">IF(D88="","",ROW()-3)</f>
        <v/>
      </c>
      <c r="B88" s="7" t="str">
        <f aca="false">IF($C88="","",IFERROR(INDEX(案件マスタ!$A$4:$A$23,MATCH($C88,案件マスタ!$B$4:$B$23,0)),"?"))</f>
        <v/>
      </c>
      <c r="C88" s="8"/>
      <c r="D88" s="9"/>
      <c r="E88" s="10"/>
      <c r="F88" s="11"/>
      <c r="G88" s="11"/>
      <c r="H88" s="10"/>
      <c r="I88" s="12"/>
      <c r="J88" s="13" t="str">
        <f aca="true">IF(D88="","",IF(H88="完了","✓ DONE",IF(G88="","⚠ NO DUE",IF(G88&lt;TODAY(),"🔴 OVERDUE",IF(G88=TODAY(),"🟡 TODAY","")))))</f>
        <v/>
      </c>
      <c r="K88" s="14"/>
      <c r="L88" s="15" t="str">
        <f aca="false">IF(A88="","",SUMIFS(工数ログ!$E$4:$E$1003,工数ログ!$D$4:$D$1003,$A88))</f>
        <v/>
      </c>
      <c r="M88" s="9"/>
      <c r="N88" s="9"/>
      <c r="O88" s="11"/>
      <c r="P88" s="11"/>
      <c r="Q88" s="2"/>
      <c r="R88" s="2"/>
    </row>
    <row r="89" customFormat="false" ht="15" hidden="false" customHeight="false" outlineLevel="0" collapsed="false">
      <c r="A89" s="6" t="str">
        <f aca="false">IF(D89="","",ROW()-3)</f>
        <v/>
      </c>
      <c r="B89" s="7" t="str">
        <f aca="false">IF($C89="","",IFERROR(INDEX(案件マスタ!$A$4:$A$23,MATCH($C89,案件マスタ!$B$4:$B$23,0)),"?"))</f>
        <v/>
      </c>
      <c r="C89" s="8"/>
      <c r="D89" s="9"/>
      <c r="E89" s="10"/>
      <c r="F89" s="11"/>
      <c r="G89" s="11"/>
      <c r="H89" s="10"/>
      <c r="I89" s="12"/>
      <c r="J89" s="13" t="str">
        <f aca="true">IF(D89="","",IF(H89="完了","✓ DONE",IF(G89="","⚠ NO DUE",IF(G89&lt;TODAY(),"🔴 OVERDUE",IF(G89=TODAY(),"🟡 TODAY","")))))</f>
        <v/>
      </c>
      <c r="K89" s="14"/>
      <c r="L89" s="15" t="str">
        <f aca="false">IF(A89="","",SUMIFS(工数ログ!$E$4:$E$1003,工数ログ!$D$4:$D$1003,$A89))</f>
        <v/>
      </c>
      <c r="M89" s="9"/>
      <c r="N89" s="9"/>
      <c r="O89" s="11"/>
      <c r="P89" s="11"/>
      <c r="Q89" s="2"/>
      <c r="R89" s="2"/>
    </row>
    <row r="90" customFormat="false" ht="15" hidden="false" customHeight="false" outlineLevel="0" collapsed="false">
      <c r="A90" s="6" t="str">
        <f aca="false">IF(D90="","",ROW()-3)</f>
        <v/>
      </c>
      <c r="B90" s="7" t="str">
        <f aca="false">IF($C90="","",IFERROR(INDEX(案件マスタ!$A$4:$A$23,MATCH($C90,案件マスタ!$B$4:$B$23,0)),"?"))</f>
        <v/>
      </c>
      <c r="C90" s="8"/>
      <c r="D90" s="9"/>
      <c r="E90" s="10"/>
      <c r="F90" s="11"/>
      <c r="G90" s="11"/>
      <c r="H90" s="10"/>
      <c r="I90" s="12"/>
      <c r="J90" s="13" t="str">
        <f aca="true">IF(D90="","",IF(H90="完了","✓ DONE",IF(G90="","⚠ NO DUE",IF(G90&lt;TODAY(),"🔴 OVERDUE",IF(G90=TODAY(),"🟡 TODAY","")))))</f>
        <v/>
      </c>
      <c r="K90" s="14"/>
      <c r="L90" s="15" t="str">
        <f aca="false">IF(A90="","",SUMIFS(工数ログ!$E$4:$E$1003,工数ログ!$D$4:$D$1003,$A90))</f>
        <v/>
      </c>
      <c r="M90" s="9"/>
      <c r="N90" s="9"/>
      <c r="O90" s="11"/>
      <c r="P90" s="11"/>
      <c r="Q90" s="2"/>
      <c r="R90" s="2"/>
    </row>
    <row r="91" customFormat="false" ht="15" hidden="false" customHeight="false" outlineLevel="0" collapsed="false">
      <c r="A91" s="6" t="str">
        <f aca="false">IF(D91="","",ROW()-3)</f>
        <v/>
      </c>
      <c r="B91" s="7" t="str">
        <f aca="false">IF($C91="","",IFERROR(INDEX(案件マスタ!$A$4:$A$23,MATCH($C91,案件マスタ!$B$4:$B$23,0)),"?"))</f>
        <v/>
      </c>
      <c r="C91" s="8"/>
      <c r="D91" s="9"/>
      <c r="E91" s="10"/>
      <c r="F91" s="11"/>
      <c r="G91" s="11"/>
      <c r="H91" s="10"/>
      <c r="I91" s="12"/>
      <c r="J91" s="13" t="str">
        <f aca="true">IF(D91="","",IF(H91="完了","✓ DONE",IF(G91="","⚠ NO DUE",IF(G91&lt;TODAY(),"🔴 OVERDUE",IF(G91=TODAY(),"🟡 TODAY","")))))</f>
        <v/>
      </c>
      <c r="K91" s="14"/>
      <c r="L91" s="15" t="str">
        <f aca="false">IF(A91="","",SUMIFS(工数ログ!$E$4:$E$1003,工数ログ!$D$4:$D$1003,$A91))</f>
        <v/>
      </c>
      <c r="M91" s="9"/>
      <c r="N91" s="9"/>
      <c r="O91" s="11"/>
      <c r="P91" s="11"/>
      <c r="Q91" s="2"/>
      <c r="R91" s="2"/>
    </row>
    <row r="92" customFormat="false" ht="15" hidden="false" customHeight="false" outlineLevel="0" collapsed="false">
      <c r="A92" s="6" t="str">
        <f aca="false">IF(D92="","",ROW()-3)</f>
        <v/>
      </c>
      <c r="B92" s="7" t="str">
        <f aca="false">IF($C92="","",IFERROR(INDEX(案件マスタ!$A$4:$A$23,MATCH($C92,案件マスタ!$B$4:$B$23,0)),"?"))</f>
        <v/>
      </c>
      <c r="C92" s="8"/>
      <c r="D92" s="9"/>
      <c r="E92" s="10"/>
      <c r="F92" s="11"/>
      <c r="G92" s="11"/>
      <c r="H92" s="10"/>
      <c r="I92" s="12"/>
      <c r="J92" s="13" t="str">
        <f aca="true">IF(D92="","",IF(H92="完了","✓ DONE",IF(G92="","⚠ NO DUE",IF(G92&lt;TODAY(),"🔴 OVERDUE",IF(G92=TODAY(),"🟡 TODAY","")))))</f>
        <v/>
      </c>
      <c r="K92" s="14"/>
      <c r="L92" s="15" t="str">
        <f aca="false">IF(A92="","",SUMIFS(工数ログ!$E$4:$E$1003,工数ログ!$D$4:$D$1003,$A92))</f>
        <v/>
      </c>
      <c r="M92" s="9"/>
      <c r="N92" s="9"/>
      <c r="O92" s="11"/>
      <c r="P92" s="11"/>
      <c r="Q92" s="2"/>
      <c r="R92" s="2"/>
    </row>
    <row r="93" customFormat="false" ht="15" hidden="false" customHeight="false" outlineLevel="0" collapsed="false">
      <c r="A93" s="6" t="str">
        <f aca="false">IF(D93="","",ROW()-3)</f>
        <v/>
      </c>
      <c r="B93" s="7" t="str">
        <f aca="false">IF($C93="","",IFERROR(INDEX(案件マスタ!$A$4:$A$23,MATCH($C93,案件マスタ!$B$4:$B$23,0)),"?"))</f>
        <v/>
      </c>
      <c r="C93" s="8"/>
      <c r="D93" s="9"/>
      <c r="E93" s="10"/>
      <c r="F93" s="11"/>
      <c r="G93" s="11"/>
      <c r="H93" s="10"/>
      <c r="I93" s="12"/>
      <c r="J93" s="13" t="str">
        <f aca="true">IF(D93="","",IF(H93="完了","✓ DONE",IF(G93="","⚠ NO DUE",IF(G93&lt;TODAY(),"🔴 OVERDUE",IF(G93=TODAY(),"🟡 TODAY","")))))</f>
        <v/>
      </c>
      <c r="K93" s="14"/>
      <c r="L93" s="15" t="str">
        <f aca="false">IF(A93="","",SUMIFS(工数ログ!$E$4:$E$1003,工数ログ!$D$4:$D$1003,$A93))</f>
        <v/>
      </c>
      <c r="M93" s="9"/>
      <c r="N93" s="9"/>
      <c r="O93" s="11"/>
      <c r="P93" s="11"/>
      <c r="Q93" s="2"/>
      <c r="R93" s="2"/>
    </row>
    <row r="94" customFormat="false" ht="15" hidden="false" customHeight="false" outlineLevel="0" collapsed="false">
      <c r="A94" s="6" t="str">
        <f aca="false">IF(D94="","",ROW()-3)</f>
        <v/>
      </c>
      <c r="B94" s="7" t="str">
        <f aca="false">IF($C94="","",IFERROR(INDEX(案件マスタ!$A$4:$A$23,MATCH($C94,案件マスタ!$B$4:$B$23,0)),"?"))</f>
        <v/>
      </c>
      <c r="C94" s="8"/>
      <c r="D94" s="9"/>
      <c r="E94" s="10"/>
      <c r="F94" s="11"/>
      <c r="G94" s="11"/>
      <c r="H94" s="10"/>
      <c r="I94" s="12"/>
      <c r="J94" s="13" t="str">
        <f aca="true">IF(D94="","",IF(H94="完了","✓ DONE",IF(G94="","⚠ NO DUE",IF(G94&lt;TODAY(),"🔴 OVERDUE",IF(G94=TODAY(),"🟡 TODAY","")))))</f>
        <v/>
      </c>
      <c r="K94" s="14"/>
      <c r="L94" s="15" t="str">
        <f aca="false">IF(A94="","",SUMIFS(工数ログ!$E$4:$E$1003,工数ログ!$D$4:$D$1003,$A94))</f>
        <v/>
      </c>
      <c r="M94" s="9"/>
      <c r="N94" s="9"/>
      <c r="O94" s="11"/>
      <c r="P94" s="11"/>
      <c r="Q94" s="2"/>
      <c r="R94" s="2"/>
    </row>
    <row r="95" customFormat="false" ht="15" hidden="false" customHeight="false" outlineLevel="0" collapsed="false">
      <c r="A95" s="6" t="str">
        <f aca="false">IF(D95="","",ROW()-3)</f>
        <v/>
      </c>
      <c r="B95" s="7" t="str">
        <f aca="false">IF($C95="","",IFERROR(INDEX(案件マスタ!$A$4:$A$23,MATCH($C95,案件マスタ!$B$4:$B$23,0)),"?"))</f>
        <v/>
      </c>
      <c r="C95" s="8"/>
      <c r="D95" s="9"/>
      <c r="E95" s="10"/>
      <c r="F95" s="11"/>
      <c r="G95" s="11"/>
      <c r="H95" s="10"/>
      <c r="I95" s="12"/>
      <c r="J95" s="13" t="str">
        <f aca="true">IF(D95="","",IF(H95="完了","✓ DONE",IF(G95="","⚠ NO DUE",IF(G95&lt;TODAY(),"🔴 OVERDUE",IF(G95=TODAY(),"🟡 TODAY","")))))</f>
        <v/>
      </c>
      <c r="K95" s="14"/>
      <c r="L95" s="15" t="str">
        <f aca="false">IF(A95="","",SUMIFS(工数ログ!$E$4:$E$1003,工数ログ!$D$4:$D$1003,$A95))</f>
        <v/>
      </c>
      <c r="M95" s="9"/>
      <c r="N95" s="9"/>
      <c r="O95" s="11"/>
      <c r="P95" s="11"/>
      <c r="Q95" s="2"/>
      <c r="R95" s="2"/>
    </row>
    <row r="96" customFormat="false" ht="15" hidden="false" customHeight="false" outlineLevel="0" collapsed="false">
      <c r="A96" s="6" t="str">
        <f aca="false">IF(D96="","",ROW()-3)</f>
        <v/>
      </c>
      <c r="B96" s="7" t="str">
        <f aca="false">IF($C96="","",IFERROR(INDEX(案件マスタ!$A$4:$A$23,MATCH($C96,案件マスタ!$B$4:$B$23,0)),"?"))</f>
        <v/>
      </c>
      <c r="C96" s="8"/>
      <c r="D96" s="9"/>
      <c r="E96" s="10"/>
      <c r="F96" s="11"/>
      <c r="G96" s="11"/>
      <c r="H96" s="10"/>
      <c r="I96" s="12"/>
      <c r="J96" s="13" t="str">
        <f aca="true">IF(D96="","",IF(H96="完了","✓ DONE",IF(G96="","⚠ NO DUE",IF(G96&lt;TODAY(),"🔴 OVERDUE",IF(G96=TODAY(),"🟡 TODAY","")))))</f>
        <v/>
      </c>
      <c r="K96" s="14"/>
      <c r="L96" s="15" t="str">
        <f aca="false">IF(A96="","",SUMIFS(工数ログ!$E$4:$E$1003,工数ログ!$D$4:$D$1003,$A96))</f>
        <v/>
      </c>
      <c r="M96" s="9"/>
      <c r="N96" s="9"/>
      <c r="O96" s="11"/>
      <c r="P96" s="11"/>
      <c r="Q96" s="2"/>
      <c r="R96" s="2"/>
    </row>
    <row r="97" customFormat="false" ht="15" hidden="false" customHeight="false" outlineLevel="0" collapsed="false">
      <c r="A97" s="6" t="str">
        <f aca="false">IF(D97="","",ROW()-3)</f>
        <v/>
      </c>
      <c r="B97" s="7" t="str">
        <f aca="false">IF($C97="","",IFERROR(INDEX(案件マスタ!$A$4:$A$23,MATCH($C97,案件マスタ!$B$4:$B$23,0)),"?"))</f>
        <v/>
      </c>
      <c r="C97" s="8"/>
      <c r="D97" s="9"/>
      <c r="E97" s="10"/>
      <c r="F97" s="11"/>
      <c r="G97" s="11"/>
      <c r="H97" s="10"/>
      <c r="I97" s="12"/>
      <c r="J97" s="13" t="str">
        <f aca="true">IF(D97="","",IF(H97="完了","✓ DONE",IF(G97="","⚠ NO DUE",IF(G97&lt;TODAY(),"🔴 OVERDUE",IF(G97=TODAY(),"🟡 TODAY","")))))</f>
        <v/>
      </c>
      <c r="K97" s="14"/>
      <c r="L97" s="15" t="str">
        <f aca="false">IF(A97="","",SUMIFS(工数ログ!$E$4:$E$1003,工数ログ!$D$4:$D$1003,$A97))</f>
        <v/>
      </c>
      <c r="M97" s="9"/>
      <c r="N97" s="9"/>
      <c r="O97" s="11"/>
      <c r="P97" s="11"/>
      <c r="Q97" s="2"/>
      <c r="R97" s="2"/>
    </row>
    <row r="98" customFormat="false" ht="15" hidden="false" customHeight="false" outlineLevel="0" collapsed="false">
      <c r="A98" s="6" t="str">
        <f aca="false">IF(D98="","",ROW()-3)</f>
        <v/>
      </c>
      <c r="B98" s="7" t="str">
        <f aca="false">IF($C98="","",IFERROR(INDEX(案件マスタ!$A$4:$A$23,MATCH($C98,案件マスタ!$B$4:$B$23,0)),"?"))</f>
        <v/>
      </c>
      <c r="C98" s="8"/>
      <c r="D98" s="9"/>
      <c r="E98" s="10"/>
      <c r="F98" s="11"/>
      <c r="G98" s="11"/>
      <c r="H98" s="10"/>
      <c r="I98" s="12"/>
      <c r="J98" s="13" t="str">
        <f aca="true">IF(D98="","",IF(H98="完了","✓ DONE",IF(G98="","⚠ NO DUE",IF(G98&lt;TODAY(),"🔴 OVERDUE",IF(G98=TODAY(),"🟡 TODAY","")))))</f>
        <v/>
      </c>
      <c r="K98" s="14"/>
      <c r="L98" s="15" t="str">
        <f aca="false">IF(A98="","",SUMIFS(工数ログ!$E$4:$E$1003,工数ログ!$D$4:$D$1003,$A98))</f>
        <v/>
      </c>
      <c r="M98" s="9"/>
      <c r="N98" s="9"/>
      <c r="O98" s="11"/>
      <c r="P98" s="11"/>
      <c r="Q98" s="2"/>
      <c r="R98" s="2"/>
    </row>
    <row r="99" customFormat="false" ht="15" hidden="false" customHeight="false" outlineLevel="0" collapsed="false">
      <c r="A99" s="6" t="str">
        <f aca="false">IF(D99="","",ROW()-3)</f>
        <v/>
      </c>
      <c r="B99" s="7" t="str">
        <f aca="false">IF($C99="","",IFERROR(INDEX(案件マスタ!$A$4:$A$23,MATCH($C99,案件マスタ!$B$4:$B$23,0)),"?"))</f>
        <v/>
      </c>
      <c r="C99" s="8"/>
      <c r="D99" s="9"/>
      <c r="E99" s="10"/>
      <c r="F99" s="11"/>
      <c r="G99" s="11"/>
      <c r="H99" s="10"/>
      <c r="I99" s="12"/>
      <c r="J99" s="13" t="str">
        <f aca="true">IF(D99="","",IF(H99="完了","✓ DONE",IF(G99="","⚠ NO DUE",IF(G99&lt;TODAY(),"🔴 OVERDUE",IF(G99=TODAY(),"🟡 TODAY","")))))</f>
        <v/>
      </c>
      <c r="K99" s="14"/>
      <c r="L99" s="15" t="str">
        <f aca="false">IF(A99="","",SUMIFS(工数ログ!$E$4:$E$1003,工数ログ!$D$4:$D$1003,$A99))</f>
        <v/>
      </c>
      <c r="M99" s="9"/>
      <c r="N99" s="9"/>
      <c r="O99" s="11"/>
      <c r="P99" s="11"/>
      <c r="Q99" s="2"/>
      <c r="R99" s="2"/>
    </row>
    <row r="100" customFormat="false" ht="15" hidden="false" customHeight="false" outlineLevel="0" collapsed="false">
      <c r="A100" s="6" t="str">
        <f aca="false">IF(D100="","",ROW()-3)</f>
        <v/>
      </c>
      <c r="B100" s="7" t="str">
        <f aca="false">IF($C100="","",IFERROR(INDEX(案件マスタ!$A$4:$A$23,MATCH($C100,案件マスタ!$B$4:$B$23,0)),"?"))</f>
        <v/>
      </c>
      <c r="C100" s="8"/>
      <c r="D100" s="9"/>
      <c r="E100" s="10"/>
      <c r="F100" s="11"/>
      <c r="G100" s="11"/>
      <c r="H100" s="10"/>
      <c r="I100" s="12"/>
      <c r="J100" s="13" t="str">
        <f aca="true">IF(D100="","",IF(H100="完了","✓ DONE",IF(G100="","⚠ NO DUE",IF(G100&lt;TODAY(),"🔴 OVERDUE",IF(G100=TODAY(),"🟡 TODAY","")))))</f>
        <v/>
      </c>
      <c r="K100" s="14"/>
      <c r="L100" s="15" t="str">
        <f aca="false">IF(A100="","",SUMIFS(工数ログ!$E$4:$E$1003,工数ログ!$D$4:$D$1003,$A100))</f>
        <v/>
      </c>
      <c r="M100" s="9"/>
      <c r="N100" s="9"/>
      <c r="O100" s="11"/>
      <c r="P100" s="11"/>
      <c r="Q100" s="2"/>
      <c r="R100" s="2"/>
    </row>
    <row r="101" customFormat="false" ht="15" hidden="false" customHeight="false" outlineLevel="0" collapsed="false">
      <c r="A101" s="6" t="str">
        <f aca="false">IF(D101="","",ROW()-3)</f>
        <v/>
      </c>
      <c r="B101" s="7" t="str">
        <f aca="false">IF($C101="","",IFERROR(INDEX(案件マスタ!$A$4:$A$23,MATCH($C101,案件マスタ!$B$4:$B$23,0)),"?"))</f>
        <v/>
      </c>
      <c r="C101" s="8"/>
      <c r="D101" s="9"/>
      <c r="E101" s="10"/>
      <c r="F101" s="11"/>
      <c r="G101" s="11"/>
      <c r="H101" s="10"/>
      <c r="I101" s="12"/>
      <c r="J101" s="13" t="str">
        <f aca="true">IF(D101="","",IF(H101="完了","✓ DONE",IF(G101="","⚠ NO DUE",IF(G101&lt;TODAY(),"🔴 OVERDUE",IF(G101=TODAY(),"🟡 TODAY","")))))</f>
        <v/>
      </c>
      <c r="K101" s="14"/>
      <c r="L101" s="15" t="str">
        <f aca="false">IF(A101="","",SUMIFS(工数ログ!$E$4:$E$1003,工数ログ!$D$4:$D$1003,$A101))</f>
        <v/>
      </c>
      <c r="M101" s="9"/>
      <c r="N101" s="9"/>
      <c r="O101" s="11"/>
      <c r="P101" s="11"/>
      <c r="Q101" s="2"/>
      <c r="R101" s="2"/>
    </row>
    <row r="102" customFormat="false" ht="15" hidden="false" customHeight="false" outlineLevel="0" collapsed="false">
      <c r="A102" s="6" t="str">
        <f aca="false">IF(D102="","",ROW()-3)</f>
        <v/>
      </c>
      <c r="B102" s="7" t="str">
        <f aca="false">IF($C102="","",IFERROR(INDEX(案件マスタ!$A$4:$A$23,MATCH($C102,案件マスタ!$B$4:$B$23,0)),"?"))</f>
        <v/>
      </c>
      <c r="C102" s="8"/>
      <c r="D102" s="9"/>
      <c r="E102" s="10"/>
      <c r="F102" s="11"/>
      <c r="G102" s="11"/>
      <c r="H102" s="10"/>
      <c r="I102" s="12"/>
      <c r="J102" s="13" t="str">
        <f aca="true">IF(D102="","",IF(H102="完了","✓ DONE",IF(G102="","⚠ NO DUE",IF(G102&lt;TODAY(),"🔴 OVERDUE",IF(G102=TODAY(),"🟡 TODAY","")))))</f>
        <v/>
      </c>
      <c r="K102" s="14"/>
      <c r="L102" s="15" t="str">
        <f aca="false">IF(A102="","",SUMIFS(工数ログ!$E$4:$E$1003,工数ログ!$D$4:$D$1003,$A102))</f>
        <v/>
      </c>
      <c r="M102" s="9"/>
      <c r="N102" s="9"/>
      <c r="O102" s="11"/>
      <c r="P102" s="11"/>
      <c r="Q102" s="2"/>
      <c r="R102" s="2"/>
    </row>
    <row r="103" customFormat="false" ht="15" hidden="false" customHeight="false" outlineLevel="0" collapsed="false">
      <c r="A103" s="6" t="str">
        <f aca="false">IF(D103="","",ROW()-3)</f>
        <v/>
      </c>
      <c r="B103" s="7" t="str">
        <f aca="false">IF($C103="","",IFERROR(INDEX(案件マスタ!$A$4:$A$23,MATCH($C103,案件マスタ!$B$4:$B$23,0)),"?"))</f>
        <v/>
      </c>
      <c r="C103" s="8"/>
      <c r="D103" s="9"/>
      <c r="E103" s="10"/>
      <c r="F103" s="11"/>
      <c r="G103" s="11"/>
      <c r="H103" s="10"/>
      <c r="I103" s="12"/>
      <c r="J103" s="13" t="str">
        <f aca="true">IF(D103="","",IF(H103="完了","✓ DONE",IF(G103="","⚠ NO DUE",IF(G103&lt;TODAY(),"🔴 OVERDUE",IF(G103=TODAY(),"🟡 TODAY","")))))</f>
        <v/>
      </c>
      <c r="K103" s="14"/>
      <c r="L103" s="15" t="str">
        <f aca="false">IF(A103="","",SUMIFS(工数ログ!$E$4:$E$1003,工数ログ!$D$4:$D$1003,$A103))</f>
        <v/>
      </c>
      <c r="M103" s="9"/>
      <c r="N103" s="9"/>
      <c r="O103" s="11"/>
      <c r="P103" s="11"/>
      <c r="Q103" s="2"/>
      <c r="R103" s="2"/>
    </row>
    <row r="104" customFormat="false" ht="15" hidden="false" customHeight="false" outlineLevel="0" collapsed="false">
      <c r="A104" s="6" t="str">
        <f aca="false">IF(D104="","",ROW()-3)</f>
        <v/>
      </c>
      <c r="B104" s="7" t="str">
        <f aca="false">IF($C104="","",IFERROR(INDEX(案件マスタ!$A$4:$A$23,MATCH($C104,案件マスタ!$B$4:$B$23,0)),"?"))</f>
        <v/>
      </c>
      <c r="C104" s="8"/>
      <c r="D104" s="9"/>
      <c r="E104" s="10"/>
      <c r="F104" s="11"/>
      <c r="G104" s="11"/>
      <c r="H104" s="10"/>
      <c r="I104" s="12"/>
      <c r="J104" s="13" t="str">
        <f aca="true">IF(D104="","",IF(H104="完了","✓ DONE",IF(G104="","⚠ NO DUE",IF(G104&lt;TODAY(),"🔴 OVERDUE",IF(G104=TODAY(),"🟡 TODAY","")))))</f>
        <v/>
      </c>
      <c r="K104" s="14"/>
      <c r="L104" s="15" t="str">
        <f aca="false">IF(A104="","",SUMIFS(工数ログ!$E$4:$E$1003,工数ログ!$D$4:$D$1003,$A104))</f>
        <v/>
      </c>
      <c r="M104" s="9"/>
      <c r="N104" s="9"/>
      <c r="O104" s="11"/>
      <c r="P104" s="11"/>
      <c r="Q104" s="2"/>
      <c r="R104" s="2"/>
    </row>
    <row r="105" customFormat="false" ht="15" hidden="false" customHeight="false" outlineLevel="0" collapsed="false">
      <c r="A105" s="6" t="str">
        <f aca="false">IF(D105="","",ROW()-3)</f>
        <v/>
      </c>
      <c r="B105" s="7" t="str">
        <f aca="false">IF($C105="","",IFERROR(INDEX(案件マスタ!$A$4:$A$23,MATCH($C105,案件マスタ!$B$4:$B$23,0)),"?"))</f>
        <v/>
      </c>
      <c r="C105" s="8"/>
      <c r="D105" s="9"/>
      <c r="E105" s="10"/>
      <c r="F105" s="11"/>
      <c r="G105" s="11"/>
      <c r="H105" s="10"/>
      <c r="I105" s="12"/>
      <c r="J105" s="13" t="str">
        <f aca="true">IF(D105="","",IF(H105="完了","✓ DONE",IF(G105="","⚠ NO DUE",IF(G105&lt;TODAY(),"🔴 OVERDUE",IF(G105=TODAY(),"🟡 TODAY","")))))</f>
        <v/>
      </c>
      <c r="K105" s="14"/>
      <c r="L105" s="15" t="str">
        <f aca="false">IF(A105="","",SUMIFS(工数ログ!$E$4:$E$1003,工数ログ!$D$4:$D$1003,$A105))</f>
        <v/>
      </c>
      <c r="M105" s="9"/>
      <c r="N105" s="9"/>
      <c r="O105" s="11"/>
      <c r="P105" s="11"/>
      <c r="Q105" s="2"/>
      <c r="R105" s="2"/>
    </row>
    <row r="106" customFormat="false" ht="15" hidden="false" customHeight="false" outlineLevel="0" collapsed="false">
      <c r="A106" s="6" t="str">
        <f aca="false">IF(D106="","",ROW()-3)</f>
        <v/>
      </c>
      <c r="B106" s="7" t="str">
        <f aca="false">IF($C106="","",IFERROR(INDEX(案件マスタ!$A$4:$A$23,MATCH($C106,案件マスタ!$B$4:$B$23,0)),"?"))</f>
        <v/>
      </c>
      <c r="C106" s="8"/>
      <c r="D106" s="9"/>
      <c r="E106" s="10"/>
      <c r="F106" s="11"/>
      <c r="G106" s="11"/>
      <c r="H106" s="10"/>
      <c r="I106" s="12"/>
      <c r="J106" s="13" t="str">
        <f aca="true">IF(D106="","",IF(H106="完了","✓ DONE",IF(G106="","⚠ NO DUE",IF(G106&lt;TODAY(),"🔴 OVERDUE",IF(G106=TODAY(),"🟡 TODAY","")))))</f>
        <v/>
      </c>
      <c r="K106" s="14"/>
      <c r="L106" s="15" t="str">
        <f aca="false">IF(A106="","",SUMIFS(工数ログ!$E$4:$E$1003,工数ログ!$D$4:$D$1003,$A106))</f>
        <v/>
      </c>
      <c r="M106" s="9"/>
      <c r="N106" s="9"/>
      <c r="O106" s="11"/>
      <c r="P106" s="11"/>
      <c r="Q106" s="2"/>
      <c r="R106" s="2"/>
    </row>
    <row r="107" customFormat="false" ht="15" hidden="false" customHeight="false" outlineLevel="0" collapsed="false">
      <c r="A107" s="6" t="str">
        <f aca="false">IF(D107="","",ROW()-3)</f>
        <v/>
      </c>
      <c r="B107" s="7" t="str">
        <f aca="false">IF($C107="","",IFERROR(INDEX(案件マスタ!$A$4:$A$23,MATCH($C107,案件マスタ!$B$4:$B$23,0)),"?"))</f>
        <v/>
      </c>
      <c r="C107" s="8"/>
      <c r="D107" s="9"/>
      <c r="E107" s="10"/>
      <c r="F107" s="11"/>
      <c r="G107" s="11"/>
      <c r="H107" s="10"/>
      <c r="I107" s="12"/>
      <c r="J107" s="13" t="str">
        <f aca="true">IF(D107="","",IF(H107="完了","✓ DONE",IF(G107="","⚠ NO DUE",IF(G107&lt;TODAY(),"🔴 OVERDUE",IF(G107=TODAY(),"🟡 TODAY","")))))</f>
        <v/>
      </c>
      <c r="K107" s="14"/>
      <c r="L107" s="15" t="str">
        <f aca="false">IF(A107="","",SUMIFS(工数ログ!$E$4:$E$1003,工数ログ!$D$4:$D$1003,$A107))</f>
        <v/>
      </c>
      <c r="M107" s="9"/>
      <c r="N107" s="9"/>
      <c r="O107" s="11"/>
      <c r="P107" s="11"/>
      <c r="Q107" s="2"/>
      <c r="R107" s="2"/>
    </row>
    <row r="108" customFormat="false" ht="15" hidden="false" customHeight="false" outlineLevel="0" collapsed="false">
      <c r="A108" s="6" t="str">
        <f aca="false">IF(D108="","",ROW()-3)</f>
        <v/>
      </c>
      <c r="B108" s="7" t="str">
        <f aca="false">IF($C108="","",IFERROR(INDEX(案件マスタ!$A$4:$A$23,MATCH($C108,案件マスタ!$B$4:$B$23,0)),"?"))</f>
        <v/>
      </c>
      <c r="C108" s="8"/>
      <c r="D108" s="9"/>
      <c r="E108" s="10"/>
      <c r="F108" s="11"/>
      <c r="G108" s="11"/>
      <c r="H108" s="10"/>
      <c r="I108" s="12"/>
      <c r="J108" s="13" t="str">
        <f aca="true">IF(D108="","",IF(H108="完了","✓ DONE",IF(G108="","⚠ NO DUE",IF(G108&lt;TODAY(),"🔴 OVERDUE",IF(G108=TODAY(),"🟡 TODAY","")))))</f>
        <v/>
      </c>
      <c r="K108" s="14"/>
      <c r="L108" s="15" t="str">
        <f aca="false">IF(A108="","",SUMIFS(工数ログ!$E$4:$E$1003,工数ログ!$D$4:$D$1003,$A108))</f>
        <v/>
      </c>
      <c r="M108" s="9"/>
      <c r="N108" s="9"/>
      <c r="O108" s="11"/>
      <c r="P108" s="11"/>
      <c r="Q108" s="2"/>
      <c r="R108" s="2"/>
    </row>
    <row r="109" customFormat="false" ht="15" hidden="false" customHeight="false" outlineLevel="0" collapsed="false">
      <c r="A109" s="6" t="str">
        <f aca="false">IF(D109="","",ROW()-3)</f>
        <v/>
      </c>
      <c r="B109" s="7" t="str">
        <f aca="false">IF($C109="","",IFERROR(INDEX(案件マスタ!$A$4:$A$23,MATCH($C109,案件マスタ!$B$4:$B$23,0)),"?"))</f>
        <v/>
      </c>
      <c r="C109" s="8"/>
      <c r="D109" s="9"/>
      <c r="E109" s="10"/>
      <c r="F109" s="11"/>
      <c r="G109" s="11"/>
      <c r="H109" s="10"/>
      <c r="I109" s="12"/>
      <c r="J109" s="13" t="str">
        <f aca="true">IF(D109="","",IF(H109="完了","✓ DONE",IF(G109="","⚠ NO DUE",IF(G109&lt;TODAY(),"🔴 OVERDUE",IF(G109=TODAY(),"🟡 TODAY","")))))</f>
        <v/>
      </c>
      <c r="K109" s="14"/>
      <c r="L109" s="15" t="str">
        <f aca="false">IF(A109="","",SUMIFS(工数ログ!$E$4:$E$1003,工数ログ!$D$4:$D$1003,$A109))</f>
        <v/>
      </c>
      <c r="M109" s="9"/>
      <c r="N109" s="9"/>
      <c r="O109" s="11"/>
      <c r="P109" s="11"/>
      <c r="Q109" s="2"/>
      <c r="R109" s="2"/>
    </row>
    <row r="110" customFormat="false" ht="15" hidden="false" customHeight="false" outlineLevel="0" collapsed="false">
      <c r="A110" s="6" t="str">
        <f aca="false">IF(D110="","",ROW()-3)</f>
        <v/>
      </c>
      <c r="B110" s="7" t="str">
        <f aca="false">IF($C110="","",IFERROR(INDEX(案件マスタ!$A$4:$A$23,MATCH($C110,案件マスタ!$B$4:$B$23,0)),"?"))</f>
        <v/>
      </c>
      <c r="C110" s="8"/>
      <c r="D110" s="9"/>
      <c r="E110" s="10"/>
      <c r="F110" s="11"/>
      <c r="G110" s="11"/>
      <c r="H110" s="10"/>
      <c r="I110" s="12"/>
      <c r="J110" s="13" t="str">
        <f aca="true">IF(D110="","",IF(H110="完了","✓ DONE",IF(G110="","⚠ NO DUE",IF(G110&lt;TODAY(),"🔴 OVERDUE",IF(G110=TODAY(),"🟡 TODAY","")))))</f>
        <v/>
      </c>
      <c r="K110" s="14"/>
      <c r="L110" s="15" t="str">
        <f aca="false">IF(A110="","",SUMIFS(工数ログ!$E$4:$E$1003,工数ログ!$D$4:$D$1003,$A110))</f>
        <v/>
      </c>
      <c r="M110" s="9"/>
      <c r="N110" s="9"/>
      <c r="O110" s="11"/>
      <c r="P110" s="11"/>
      <c r="Q110" s="2"/>
      <c r="R110" s="2"/>
    </row>
    <row r="111" customFormat="false" ht="15" hidden="false" customHeight="false" outlineLevel="0" collapsed="false">
      <c r="A111" s="6" t="str">
        <f aca="false">IF(D111="","",ROW()-3)</f>
        <v/>
      </c>
      <c r="B111" s="7" t="str">
        <f aca="false">IF($C111="","",IFERROR(INDEX(案件マスタ!$A$4:$A$23,MATCH($C111,案件マスタ!$B$4:$B$23,0)),"?"))</f>
        <v/>
      </c>
      <c r="C111" s="8"/>
      <c r="D111" s="9"/>
      <c r="E111" s="10"/>
      <c r="F111" s="11"/>
      <c r="G111" s="11"/>
      <c r="H111" s="10"/>
      <c r="I111" s="12"/>
      <c r="J111" s="13" t="str">
        <f aca="true">IF(D111="","",IF(H111="完了","✓ DONE",IF(G111="","⚠ NO DUE",IF(G111&lt;TODAY(),"🔴 OVERDUE",IF(G111=TODAY(),"🟡 TODAY","")))))</f>
        <v/>
      </c>
      <c r="K111" s="14"/>
      <c r="L111" s="15" t="str">
        <f aca="false">IF(A111="","",SUMIFS(工数ログ!$E$4:$E$1003,工数ログ!$D$4:$D$1003,$A111))</f>
        <v/>
      </c>
      <c r="M111" s="9"/>
      <c r="N111" s="9"/>
      <c r="O111" s="11"/>
      <c r="P111" s="11"/>
      <c r="Q111" s="2"/>
      <c r="R111" s="2"/>
    </row>
    <row r="112" customFormat="false" ht="15" hidden="false" customHeight="false" outlineLevel="0" collapsed="false">
      <c r="A112" s="6" t="str">
        <f aca="false">IF(D112="","",ROW()-3)</f>
        <v/>
      </c>
      <c r="B112" s="7" t="str">
        <f aca="false">IF($C112="","",IFERROR(INDEX(案件マスタ!$A$4:$A$23,MATCH($C112,案件マスタ!$B$4:$B$23,0)),"?"))</f>
        <v/>
      </c>
      <c r="C112" s="8"/>
      <c r="D112" s="9"/>
      <c r="E112" s="10"/>
      <c r="F112" s="11"/>
      <c r="G112" s="11"/>
      <c r="H112" s="10"/>
      <c r="I112" s="12"/>
      <c r="J112" s="13" t="str">
        <f aca="true">IF(D112="","",IF(H112="完了","✓ DONE",IF(G112="","⚠ NO DUE",IF(G112&lt;TODAY(),"🔴 OVERDUE",IF(G112=TODAY(),"🟡 TODAY","")))))</f>
        <v/>
      </c>
      <c r="K112" s="14"/>
      <c r="L112" s="15" t="str">
        <f aca="false">IF(A112="","",SUMIFS(工数ログ!$E$4:$E$1003,工数ログ!$D$4:$D$1003,$A112))</f>
        <v/>
      </c>
      <c r="M112" s="9"/>
      <c r="N112" s="9"/>
      <c r="O112" s="11"/>
      <c r="P112" s="11"/>
      <c r="Q112" s="2"/>
      <c r="R112" s="2"/>
    </row>
    <row r="113" customFormat="false" ht="15" hidden="false" customHeight="false" outlineLevel="0" collapsed="false">
      <c r="A113" s="6" t="str">
        <f aca="false">IF(D113="","",ROW()-3)</f>
        <v/>
      </c>
      <c r="B113" s="7" t="str">
        <f aca="false">IF($C113="","",IFERROR(INDEX(案件マスタ!$A$4:$A$23,MATCH($C113,案件マスタ!$B$4:$B$23,0)),"?"))</f>
        <v/>
      </c>
      <c r="C113" s="8"/>
      <c r="D113" s="9"/>
      <c r="E113" s="10"/>
      <c r="F113" s="11"/>
      <c r="G113" s="11"/>
      <c r="H113" s="10"/>
      <c r="I113" s="12"/>
      <c r="J113" s="13" t="str">
        <f aca="true">IF(D113="","",IF(H113="完了","✓ DONE",IF(G113="","⚠ NO DUE",IF(G113&lt;TODAY(),"🔴 OVERDUE",IF(G113=TODAY(),"🟡 TODAY","")))))</f>
        <v/>
      </c>
      <c r="K113" s="14"/>
      <c r="L113" s="15" t="str">
        <f aca="false">IF(A113="","",SUMIFS(工数ログ!$E$4:$E$1003,工数ログ!$D$4:$D$1003,$A113))</f>
        <v/>
      </c>
      <c r="M113" s="9"/>
      <c r="N113" s="9"/>
      <c r="O113" s="11"/>
      <c r="P113" s="11"/>
      <c r="Q113" s="2"/>
      <c r="R113" s="2"/>
    </row>
    <row r="114" customFormat="false" ht="15" hidden="false" customHeight="false" outlineLevel="0" collapsed="false">
      <c r="A114" s="6" t="str">
        <f aca="false">IF(D114="","",ROW()-3)</f>
        <v/>
      </c>
      <c r="B114" s="7" t="str">
        <f aca="false">IF($C114="","",IFERROR(INDEX(案件マスタ!$A$4:$A$23,MATCH($C114,案件マスタ!$B$4:$B$23,0)),"?"))</f>
        <v/>
      </c>
      <c r="C114" s="8"/>
      <c r="D114" s="9"/>
      <c r="E114" s="10"/>
      <c r="F114" s="11"/>
      <c r="G114" s="11"/>
      <c r="H114" s="10"/>
      <c r="I114" s="12"/>
      <c r="J114" s="13" t="str">
        <f aca="true">IF(D114="","",IF(H114="完了","✓ DONE",IF(G114="","⚠ NO DUE",IF(G114&lt;TODAY(),"🔴 OVERDUE",IF(G114=TODAY(),"🟡 TODAY","")))))</f>
        <v/>
      </c>
      <c r="K114" s="14"/>
      <c r="L114" s="15" t="str">
        <f aca="false">IF(A114="","",SUMIFS(工数ログ!$E$4:$E$1003,工数ログ!$D$4:$D$1003,$A114))</f>
        <v/>
      </c>
      <c r="M114" s="9"/>
      <c r="N114" s="9"/>
      <c r="O114" s="11"/>
      <c r="P114" s="11"/>
      <c r="Q114" s="2"/>
      <c r="R114" s="2"/>
    </row>
    <row r="115" customFormat="false" ht="15" hidden="false" customHeight="false" outlineLevel="0" collapsed="false">
      <c r="A115" s="6" t="str">
        <f aca="false">IF(D115="","",ROW()-3)</f>
        <v/>
      </c>
      <c r="B115" s="7" t="str">
        <f aca="false">IF($C115="","",IFERROR(INDEX(案件マスタ!$A$4:$A$23,MATCH($C115,案件マスタ!$B$4:$B$23,0)),"?"))</f>
        <v/>
      </c>
      <c r="C115" s="8"/>
      <c r="D115" s="9"/>
      <c r="E115" s="10"/>
      <c r="F115" s="11"/>
      <c r="G115" s="11"/>
      <c r="H115" s="10"/>
      <c r="I115" s="12"/>
      <c r="J115" s="13" t="str">
        <f aca="true">IF(D115="","",IF(H115="完了","✓ DONE",IF(G115="","⚠ NO DUE",IF(G115&lt;TODAY(),"🔴 OVERDUE",IF(G115=TODAY(),"🟡 TODAY","")))))</f>
        <v/>
      </c>
      <c r="K115" s="14"/>
      <c r="L115" s="15" t="str">
        <f aca="false">IF(A115="","",SUMIFS(工数ログ!$E$4:$E$1003,工数ログ!$D$4:$D$1003,$A115))</f>
        <v/>
      </c>
      <c r="M115" s="9"/>
      <c r="N115" s="9"/>
      <c r="O115" s="11"/>
      <c r="P115" s="11"/>
      <c r="Q115" s="2"/>
      <c r="R115" s="2"/>
    </row>
    <row r="116" customFormat="false" ht="15" hidden="false" customHeight="false" outlineLevel="0" collapsed="false">
      <c r="A116" s="6" t="str">
        <f aca="false">IF(D116="","",ROW()-3)</f>
        <v/>
      </c>
      <c r="B116" s="7" t="str">
        <f aca="false">IF($C116="","",IFERROR(INDEX(案件マスタ!$A$4:$A$23,MATCH($C116,案件マスタ!$B$4:$B$23,0)),"?"))</f>
        <v/>
      </c>
      <c r="C116" s="8"/>
      <c r="D116" s="9"/>
      <c r="E116" s="10"/>
      <c r="F116" s="11"/>
      <c r="G116" s="11"/>
      <c r="H116" s="10"/>
      <c r="I116" s="12"/>
      <c r="J116" s="13" t="str">
        <f aca="true">IF(D116="","",IF(H116="完了","✓ DONE",IF(G116="","⚠ NO DUE",IF(G116&lt;TODAY(),"🔴 OVERDUE",IF(G116=TODAY(),"🟡 TODAY","")))))</f>
        <v/>
      </c>
      <c r="K116" s="14"/>
      <c r="L116" s="15" t="str">
        <f aca="false">IF(A116="","",SUMIFS(工数ログ!$E$4:$E$1003,工数ログ!$D$4:$D$1003,$A116))</f>
        <v/>
      </c>
      <c r="M116" s="9"/>
      <c r="N116" s="9"/>
      <c r="O116" s="11"/>
      <c r="P116" s="11"/>
      <c r="Q116" s="2"/>
      <c r="R116" s="2"/>
    </row>
    <row r="117" customFormat="false" ht="15" hidden="false" customHeight="false" outlineLevel="0" collapsed="false">
      <c r="A117" s="6" t="str">
        <f aca="false">IF(D117="","",ROW()-3)</f>
        <v/>
      </c>
      <c r="B117" s="7" t="str">
        <f aca="false">IF($C117="","",IFERROR(INDEX(案件マスタ!$A$4:$A$23,MATCH($C117,案件マスタ!$B$4:$B$23,0)),"?"))</f>
        <v/>
      </c>
      <c r="C117" s="8"/>
      <c r="D117" s="9"/>
      <c r="E117" s="10"/>
      <c r="F117" s="11"/>
      <c r="G117" s="11"/>
      <c r="H117" s="10"/>
      <c r="I117" s="12"/>
      <c r="J117" s="13" t="str">
        <f aca="true">IF(D117="","",IF(H117="完了","✓ DONE",IF(G117="","⚠ NO DUE",IF(G117&lt;TODAY(),"🔴 OVERDUE",IF(G117=TODAY(),"🟡 TODAY","")))))</f>
        <v/>
      </c>
      <c r="K117" s="14"/>
      <c r="L117" s="15" t="str">
        <f aca="false">IF(A117="","",SUMIFS(工数ログ!$E$4:$E$1003,工数ログ!$D$4:$D$1003,$A117))</f>
        <v/>
      </c>
      <c r="M117" s="9"/>
      <c r="N117" s="9"/>
      <c r="O117" s="11"/>
      <c r="P117" s="11"/>
      <c r="Q117" s="2"/>
      <c r="R117" s="2"/>
    </row>
    <row r="118" customFormat="false" ht="15" hidden="false" customHeight="false" outlineLevel="0" collapsed="false">
      <c r="A118" s="6" t="str">
        <f aca="false">IF(D118="","",ROW()-3)</f>
        <v/>
      </c>
      <c r="B118" s="7" t="str">
        <f aca="false">IF($C118="","",IFERROR(INDEX(案件マスタ!$A$4:$A$23,MATCH($C118,案件マスタ!$B$4:$B$23,0)),"?"))</f>
        <v/>
      </c>
      <c r="C118" s="8"/>
      <c r="D118" s="9"/>
      <c r="E118" s="10"/>
      <c r="F118" s="11"/>
      <c r="G118" s="11"/>
      <c r="H118" s="10"/>
      <c r="I118" s="12"/>
      <c r="J118" s="13" t="str">
        <f aca="true">IF(D118="","",IF(H118="完了","✓ DONE",IF(G118="","⚠ NO DUE",IF(G118&lt;TODAY(),"🔴 OVERDUE",IF(G118=TODAY(),"🟡 TODAY","")))))</f>
        <v/>
      </c>
      <c r="K118" s="14"/>
      <c r="L118" s="15" t="str">
        <f aca="false">IF(A118="","",SUMIFS(工数ログ!$E$4:$E$1003,工数ログ!$D$4:$D$1003,$A118))</f>
        <v/>
      </c>
      <c r="M118" s="9"/>
      <c r="N118" s="9"/>
      <c r="O118" s="11"/>
      <c r="P118" s="11"/>
      <c r="Q118" s="2"/>
      <c r="R118" s="2"/>
    </row>
    <row r="119" customFormat="false" ht="15" hidden="false" customHeight="false" outlineLevel="0" collapsed="false">
      <c r="A119" s="6" t="str">
        <f aca="false">IF(D119="","",ROW()-3)</f>
        <v/>
      </c>
      <c r="B119" s="7" t="str">
        <f aca="false">IF($C119="","",IFERROR(INDEX(案件マスタ!$A$4:$A$23,MATCH($C119,案件マスタ!$B$4:$B$23,0)),"?"))</f>
        <v/>
      </c>
      <c r="C119" s="8"/>
      <c r="D119" s="9"/>
      <c r="E119" s="10"/>
      <c r="F119" s="11"/>
      <c r="G119" s="11"/>
      <c r="H119" s="10"/>
      <c r="I119" s="12"/>
      <c r="J119" s="13" t="str">
        <f aca="true">IF(D119="","",IF(H119="完了","✓ DONE",IF(G119="","⚠ NO DUE",IF(G119&lt;TODAY(),"🔴 OVERDUE",IF(G119=TODAY(),"🟡 TODAY","")))))</f>
        <v/>
      </c>
      <c r="K119" s="14"/>
      <c r="L119" s="15" t="str">
        <f aca="false">IF(A119="","",SUMIFS(工数ログ!$E$4:$E$1003,工数ログ!$D$4:$D$1003,$A119))</f>
        <v/>
      </c>
      <c r="M119" s="9"/>
      <c r="N119" s="9"/>
      <c r="O119" s="11"/>
      <c r="P119" s="11"/>
      <c r="Q119" s="2"/>
      <c r="R119" s="2"/>
    </row>
    <row r="120" customFormat="false" ht="15" hidden="false" customHeight="false" outlineLevel="0" collapsed="false">
      <c r="A120" s="6" t="str">
        <f aca="false">IF(D120="","",ROW()-3)</f>
        <v/>
      </c>
      <c r="B120" s="7" t="str">
        <f aca="false">IF($C120="","",IFERROR(INDEX(案件マスタ!$A$4:$A$23,MATCH($C120,案件マスタ!$B$4:$B$23,0)),"?"))</f>
        <v/>
      </c>
      <c r="C120" s="8"/>
      <c r="D120" s="9"/>
      <c r="E120" s="10"/>
      <c r="F120" s="11"/>
      <c r="G120" s="11"/>
      <c r="H120" s="10"/>
      <c r="I120" s="12"/>
      <c r="J120" s="13" t="str">
        <f aca="true">IF(D120="","",IF(H120="完了","✓ DONE",IF(G120="","⚠ NO DUE",IF(G120&lt;TODAY(),"🔴 OVERDUE",IF(G120=TODAY(),"🟡 TODAY","")))))</f>
        <v/>
      </c>
      <c r="K120" s="14"/>
      <c r="L120" s="15" t="str">
        <f aca="false">IF(A120="","",SUMIFS(工数ログ!$E$4:$E$1003,工数ログ!$D$4:$D$1003,$A120))</f>
        <v/>
      </c>
      <c r="M120" s="9"/>
      <c r="N120" s="9"/>
      <c r="O120" s="11"/>
      <c r="P120" s="11"/>
      <c r="Q120" s="2"/>
      <c r="R120" s="2"/>
    </row>
    <row r="121" customFormat="false" ht="15" hidden="false" customHeight="false" outlineLevel="0" collapsed="false">
      <c r="A121" s="6" t="str">
        <f aca="false">IF(D121="","",ROW()-3)</f>
        <v/>
      </c>
      <c r="B121" s="7" t="str">
        <f aca="false">IF($C121="","",IFERROR(INDEX(案件マスタ!$A$4:$A$23,MATCH($C121,案件マスタ!$B$4:$B$23,0)),"?"))</f>
        <v/>
      </c>
      <c r="C121" s="8"/>
      <c r="D121" s="9"/>
      <c r="E121" s="10"/>
      <c r="F121" s="11"/>
      <c r="G121" s="11"/>
      <c r="H121" s="10"/>
      <c r="I121" s="12"/>
      <c r="J121" s="13" t="str">
        <f aca="true">IF(D121="","",IF(H121="完了","✓ DONE",IF(G121="","⚠ NO DUE",IF(G121&lt;TODAY(),"🔴 OVERDUE",IF(G121=TODAY(),"🟡 TODAY","")))))</f>
        <v/>
      </c>
      <c r="K121" s="14"/>
      <c r="L121" s="15" t="str">
        <f aca="false">IF(A121="","",SUMIFS(工数ログ!$E$4:$E$1003,工数ログ!$D$4:$D$1003,$A121))</f>
        <v/>
      </c>
      <c r="M121" s="9"/>
      <c r="N121" s="9"/>
      <c r="O121" s="11"/>
      <c r="P121" s="11"/>
      <c r="Q121" s="2"/>
      <c r="R121" s="2"/>
    </row>
    <row r="122" customFormat="false" ht="15" hidden="false" customHeight="false" outlineLevel="0" collapsed="false">
      <c r="A122" s="6" t="str">
        <f aca="false">IF(D122="","",ROW()-3)</f>
        <v/>
      </c>
      <c r="B122" s="7" t="str">
        <f aca="false">IF($C122="","",IFERROR(INDEX(案件マスタ!$A$4:$A$23,MATCH($C122,案件マスタ!$B$4:$B$23,0)),"?"))</f>
        <v/>
      </c>
      <c r="C122" s="8"/>
      <c r="D122" s="9"/>
      <c r="E122" s="10"/>
      <c r="F122" s="11"/>
      <c r="G122" s="11"/>
      <c r="H122" s="10"/>
      <c r="I122" s="12"/>
      <c r="J122" s="13" t="str">
        <f aca="true">IF(D122="","",IF(H122="完了","✓ DONE",IF(G122="","⚠ NO DUE",IF(G122&lt;TODAY(),"🔴 OVERDUE",IF(G122=TODAY(),"🟡 TODAY","")))))</f>
        <v/>
      </c>
      <c r="K122" s="14"/>
      <c r="L122" s="15" t="str">
        <f aca="false">IF(A122="","",SUMIFS(工数ログ!$E$4:$E$1003,工数ログ!$D$4:$D$1003,$A122))</f>
        <v/>
      </c>
      <c r="M122" s="9"/>
      <c r="N122" s="9"/>
      <c r="O122" s="11"/>
      <c r="P122" s="11"/>
      <c r="Q122" s="2"/>
      <c r="R122" s="2"/>
    </row>
    <row r="123" customFormat="false" ht="15" hidden="false" customHeight="false" outlineLevel="0" collapsed="false">
      <c r="A123" s="6" t="str">
        <f aca="false">IF(D123="","",ROW()-3)</f>
        <v/>
      </c>
      <c r="B123" s="7" t="str">
        <f aca="false">IF($C123="","",IFERROR(INDEX(案件マスタ!$A$4:$A$23,MATCH($C123,案件マスタ!$B$4:$B$23,0)),"?"))</f>
        <v/>
      </c>
      <c r="C123" s="8"/>
      <c r="D123" s="9"/>
      <c r="E123" s="10"/>
      <c r="F123" s="11"/>
      <c r="G123" s="11"/>
      <c r="H123" s="10"/>
      <c r="I123" s="12"/>
      <c r="J123" s="13" t="str">
        <f aca="true">IF(D123="","",IF(H123="完了","✓ DONE",IF(G123="","⚠ NO DUE",IF(G123&lt;TODAY(),"🔴 OVERDUE",IF(G123=TODAY(),"🟡 TODAY","")))))</f>
        <v/>
      </c>
      <c r="K123" s="14"/>
      <c r="L123" s="15" t="str">
        <f aca="false">IF(A123="","",SUMIFS(工数ログ!$E$4:$E$1003,工数ログ!$D$4:$D$1003,$A123))</f>
        <v/>
      </c>
      <c r="M123" s="9"/>
      <c r="N123" s="9"/>
      <c r="O123" s="11"/>
      <c r="P123" s="11"/>
      <c r="Q123" s="2"/>
      <c r="R123" s="2"/>
    </row>
    <row r="124" customFormat="false" ht="15" hidden="false" customHeight="false" outlineLevel="0" collapsed="false">
      <c r="A124" s="6" t="str">
        <f aca="false">IF(D124="","",ROW()-3)</f>
        <v/>
      </c>
      <c r="B124" s="7" t="str">
        <f aca="false">IF($C124="","",IFERROR(INDEX(案件マスタ!$A$4:$A$23,MATCH($C124,案件マスタ!$B$4:$B$23,0)),"?"))</f>
        <v/>
      </c>
      <c r="C124" s="8"/>
      <c r="D124" s="9"/>
      <c r="E124" s="10"/>
      <c r="F124" s="11"/>
      <c r="G124" s="11"/>
      <c r="H124" s="10"/>
      <c r="I124" s="12"/>
      <c r="J124" s="13" t="str">
        <f aca="true">IF(D124="","",IF(H124="完了","✓ DONE",IF(G124="","⚠ NO DUE",IF(G124&lt;TODAY(),"🔴 OVERDUE",IF(G124=TODAY(),"🟡 TODAY","")))))</f>
        <v/>
      </c>
      <c r="K124" s="14"/>
      <c r="L124" s="15" t="str">
        <f aca="false">IF(A124="","",SUMIFS(工数ログ!$E$4:$E$1003,工数ログ!$D$4:$D$1003,$A124))</f>
        <v/>
      </c>
      <c r="M124" s="9"/>
      <c r="N124" s="9"/>
      <c r="O124" s="11"/>
      <c r="P124" s="11"/>
      <c r="Q124" s="2"/>
      <c r="R124" s="2"/>
    </row>
    <row r="125" customFormat="false" ht="15" hidden="false" customHeight="false" outlineLevel="0" collapsed="false">
      <c r="A125" s="6" t="str">
        <f aca="false">IF(D125="","",ROW()-3)</f>
        <v/>
      </c>
      <c r="B125" s="7" t="str">
        <f aca="false">IF($C125="","",IFERROR(INDEX(案件マスタ!$A$4:$A$23,MATCH($C125,案件マスタ!$B$4:$B$23,0)),"?"))</f>
        <v/>
      </c>
      <c r="C125" s="8"/>
      <c r="D125" s="9"/>
      <c r="E125" s="10"/>
      <c r="F125" s="11"/>
      <c r="G125" s="11"/>
      <c r="H125" s="10"/>
      <c r="I125" s="12"/>
      <c r="J125" s="13" t="str">
        <f aca="true">IF(D125="","",IF(H125="完了","✓ DONE",IF(G125="","⚠ NO DUE",IF(G125&lt;TODAY(),"🔴 OVERDUE",IF(G125=TODAY(),"🟡 TODAY","")))))</f>
        <v/>
      </c>
      <c r="K125" s="14"/>
      <c r="L125" s="15" t="str">
        <f aca="false">IF(A125="","",SUMIFS(工数ログ!$E$4:$E$1003,工数ログ!$D$4:$D$1003,$A125))</f>
        <v/>
      </c>
      <c r="M125" s="9"/>
      <c r="N125" s="9"/>
      <c r="O125" s="11"/>
      <c r="P125" s="11"/>
      <c r="Q125" s="2"/>
      <c r="R125" s="2"/>
    </row>
    <row r="126" customFormat="false" ht="15" hidden="false" customHeight="false" outlineLevel="0" collapsed="false">
      <c r="A126" s="6" t="str">
        <f aca="false">IF(D126="","",ROW()-3)</f>
        <v/>
      </c>
      <c r="B126" s="7" t="str">
        <f aca="false">IF($C126="","",IFERROR(INDEX(案件マスタ!$A$4:$A$23,MATCH($C126,案件マスタ!$B$4:$B$23,0)),"?"))</f>
        <v/>
      </c>
      <c r="C126" s="8"/>
      <c r="D126" s="9"/>
      <c r="E126" s="10"/>
      <c r="F126" s="11"/>
      <c r="G126" s="11"/>
      <c r="H126" s="10"/>
      <c r="I126" s="12"/>
      <c r="J126" s="13" t="str">
        <f aca="true">IF(D126="","",IF(H126="完了","✓ DONE",IF(G126="","⚠ NO DUE",IF(G126&lt;TODAY(),"🔴 OVERDUE",IF(G126=TODAY(),"🟡 TODAY","")))))</f>
        <v/>
      </c>
      <c r="K126" s="14"/>
      <c r="L126" s="15" t="str">
        <f aca="false">IF(A126="","",SUMIFS(工数ログ!$E$4:$E$1003,工数ログ!$D$4:$D$1003,$A126))</f>
        <v/>
      </c>
      <c r="M126" s="9"/>
      <c r="N126" s="9"/>
      <c r="O126" s="11"/>
      <c r="P126" s="11"/>
      <c r="Q126" s="2"/>
      <c r="R126" s="2"/>
    </row>
    <row r="127" customFormat="false" ht="15" hidden="false" customHeight="false" outlineLevel="0" collapsed="false">
      <c r="A127" s="6" t="str">
        <f aca="false">IF(D127="","",ROW()-3)</f>
        <v/>
      </c>
      <c r="B127" s="7" t="str">
        <f aca="false">IF($C127="","",IFERROR(INDEX(案件マスタ!$A$4:$A$23,MATCH($C127,案件マスタ!$B$4:$B$23,0)),"?"))</f>
        <v/>
      </c>
      <c r="C127" s="8"/>
      <c r="D127" s="9"/>
      <c r="E127" s="10"/>
      <c r="F127" s="11"/>
      <c r="G127" s="11"/>
      <c r="H127" s="10"/>
      <c r="I127" s="12"/>
      <c r="J127" s="13" t="str">
        <f aca="true">IF(D127="","",IF(H127="完了","✓ DONE",IF(G127="","⚠ NO DUE",IF(G127&lt;TODAY(),"🔴 OVERDUE",IF(G127=TODAY(),"🟡 TODAY","")))))</f>
        <v/>
      </c>
      <c r="K127" s="14"/>
      <c r="L127" s="15" t="str">
        <f aca="false">IF(A127="","",SUMIFS(工数ログ!$E$4:$E$1003,工数ログ!$D$4:$D$1003,$A127))</f>
        <v/>
      </c>
      <c r="M127" s="9"/>
      <c r="N127" s="9"/>
      <c r="O127" s="11"/>
      <c r="P127" s="11"/>
      <c r="Q127" s="2"/>
      <c r="R127" s="2"/>
    </row>
    <row r="128" customFormat="false" ht="15" hidden="false" customHeight="false" outlineLevel="0" collapsed="false">
      <c r="A128" s="6" t="str">
        <f aca="false">IF(D128="","",ROW()-3)</f>
        <v/>
      </c>
      <c r="B128" s="7" t="str">
        <f aca="false">IF($C128="","",IFERROR(INDEX(案件マスタ!$A$4:$A$23,MATCH($C128,案件マスタ!$B$4:$B$23,0)),"?"))</f>
        <v/>
      </c>
      <c r="C128" s="8"/>
      <c r="D128" s="9"/>
      <c r="E128" s="10"/>
      <c r="F128" s="11"/>
      <c r="G128" s="11"/>
      <c r="H128" s="10"/>
      <c r="I128" s="12"/>
      <c r="J128" s="13" t="str">
        <f aca="true">IF(D128="","",IF(H128="完了","✓ DONE",IF(G128="","⚠ NO DUE",IF(G128&lt;TODAY(),"🔴 OVERDUE",IF(G128=TODAY(),"🟡 TODAY","")))))</f>
        <v/>
      </c>
      <c r="K128" s="14"/>
      <c r="L128" s="15" t="str">
        <f aca="false">IF(A128="","",SUMIFS(工数ログ!$E$4:$E$1003,工数ログ!$D$4:$D$1003,$A128))</f>
        <v/>
      </c>
      <c r="M128" s="9"/>
      <c r="N128" s="9"/>
      <c r="O128" s="11"/>
      <c r="P128" s="11"/>
      <c r="Q128" s="2"/>
      <c r="R128" s="2"/>
    </row>
    <row r="129" customFormat="false" ht="15" hidden="false" customHeight="false" outlineLevel="0" collapsed="false">
      <c r="A129" s="6" t="str">
        <f aca="false">IF(D129="","",ROW()-3)</f>
        <v/>
      </c>
      <c r="B129" s="7" t="str">
        <f aca="false">IF($C129="","",IFERROR(INDEX(案件マスタ!$A$4:$A$23,MATCH($C129,案件マスタ!$B$4:$B$23,0)),"?"))</f>
        <v/>
      </c>
      <c r="C129" s="8"/>
      <c r="D129" s="9"/>
      <c r="E129" s="10"/>
      <c r="F129" s="11"/>
      <c r="G129" s="11"/>
      <c r="H129" s="10"/>
      <c r="I129" s="12"/>
      <c r="J129" s="13" t="str">
        <f aca="true">IF(D129="","",IF(H129="完了","✓ DONE",IF(G129="","⚠ NO DUE",IF(G129&lt;TODAY(),"🔴 OVERDUE",IF(G129=TODAY(),"🟡 TODAY","")))))</f>
        <v/>
      </c>
      <c r="K129" s="14"/>
      <c r="L129" s="15" t="str">
        <f aca="false">IF(A129="","",SUMIFS(工数ログ!$E$4:$E$1003,工数ログ!$D$4:$D$1003,$A129))</f>
        <v/>
      </c>
      <c r="M129" s="9"/>
      <c r="N129" s="9"/>
      <c r="O129" s="11"/>
      <c r="P129" s="11"/>
      <c r="Q129" s="2"/>
      <c r="R129" s="2"/>
    </row>
    <row r="130" customFormat="false" ht="15" hidden="false" customHeight="false" outlineLevel="0" collapsed="false">
      <c r="A130" s="6" t="str">
        <f aca="false">IF(D130="","",ROW()-3)</f>
        <v/>
      </c>
      <c r="B130" s="7" t="str">
        <f aca="false">IF($C130="","",IFERROR(INDEX(案件マスタ!$A$4:$A$23,MATCH($C130,案件マスタ!$B$4:$B$23,0)),"?"))</f>
        <v/>
      </c>
      <c r="C130" s="8"/>
      <c r="D130" s="9"/>
      <c r="E130" s="10"/>
      <c r="F130" s="11"/>
      <c r="G130" s="11"/>
      <c r="H130" s="10"/>
      <c r="I130" s="12"/>
      <c r="J130" s="13" t="str">
        <f aca="true">IF(D130="","",IF(H130="完了","✓ DONE",IF(G130="","⚠ NO DUE",IF(G130&lt;TODAY(),"🔴 OVERDUE",IF(G130=TODAY(),"🟡 TODAY","")))))</f>
        <v/>
      </c>
      <c r="K130" s="14"/>
      <c r="L130" s="15" t="str">
        <f aca="false">IF(A130="","",SUMIFS(工数ログ!$E$4:$E$1003,工数ログ!$D$4:$D$1003,$A130))</f>
        <v/>
      </c>
      <c r="M130" s="9"/>
      <c r="N130" s="9"/>
      <c r="O130" s="11"/>
      <c r="P130" s="11"/>
      <c r="Q130" s="2"/>
      <c r="R130" s="2"/>
    </row>
    <row r="131" customFormat="false" ht="15" hidden="false" customHeight="false" outlineLevel="0" collapsed="false">
      <c r="A131" s="6" t="str">
        <f aca="false">IF(D131="","",ROW()-3)</f>
        <v/>
      </c>
      <c r="B131" s="7" t="str">
        <f aca="false">IF($C131="","",IFERROR(INDEX(案件マスタ!$A$4:$A$23,MATCH($C131,案件マスタ!$B$4:$B$23,0)),"?"))</f>
        <v/>
      </c>
      <c r="C131" s="8"/>
      <c r="D131" s="9"/>
      <c r="E131" s="10"/>
      <c r="F131" s="11"/>
      <c r="G131" s="11"/>
      <c r="H131" s="10"/>
      <c r="I131" s="12"/>
      <c r="J131" s="13" t="str">
        <f aca="true">IF(D131="","",IF(H131="完了","✓ DONE",IF(G131="","⚠ NO DUE",IF(G131&lt;TODAY(),"🔴 OVERDUE",IF(G131=TODAY(),"🟡 TODAY","")))))</f>
        <v/>
      </c>
      <c r="K131" s="14"/>
      <c r="L131" s="15" t="str">
        <f aca="false">IF(A131="","",SUMIFS(工数ログ!$E$4:$E$1003,工数ログ!$D$4:$D$1003,$A131))</f>
        <v/>
      </c>
      <c r="M131" s="9"/>
      <c r="N131" s="9"/>
      <c r="O131" s="11"/>
      <c r="P131" s="11"/>
      <c r="Q131" s="2"/>
      <c r="R131" s="2"/>
    </row>
    <row r="132" customFormat="false" ht="15" hidden="false" customHeight="false" outlineLevel="0" collapsed="false">
      <c r="A132" s="6" t="str">
        <f aca="false">IF(D132="","",ROW()-3)</f>
        <v/>
      </c>
      <c r="B132" s="7" t="str">
        <f aca="false">IF($C132="","",IFERROR(INDEX(案件マスタ!$A$4:$A$23,MATCH($C132,案件マスタ!$B$4:$B$23,0)),"?"))</f>
        <v/>
      </c>
      <c r="C132" s="8"/>
      <c r="D132" s="9"/>
      <c r="E132" s="10"/>
      <c r="F132" s="11"/>
      <c r="G132" s="11"/>
      <c r="H132" s="10"/>
      <c r="I132" s="12"/>
      <c r="J132" s="13" t="str">
        <f aca="true">IF(D132="","",IF(H132="完了","✓ DONE",IF(G132="","⚠ NO DUE",IF(G132&lt;TODAY(),"🔴 OVERDUE",IF(G132=TODAY(),"🟡 TODAY","")))))</f>
        <v/>
      </c>
      <c r="K132" s="14"/>
      <c r="L132" s="15" t="str">
        <f aca="false">IF(A132="","",SUMIFS(工数ログ!$E$4:$E$1003,工数ログ!$D$4:$D$1003,$A132))</f>
        <v/>
      </c>
      <c r="M132" s="9"/>
      <c r="N132" s="9"/>
      <c r="O132" s="11"/>
      <c r="P132" s="11"/>
      <c r="Q132" s="2"/>
      <c r="R132" s="2"/>
    </row>
    <row r="133" customFormat="false" ht="15" hidden="false" customHeight="false" outlineLevel="0" collapsed="false">
      <c r="A133" s="6" t="str">
        <f aca="false">IF(D133="","",ROW()-3)</f>
        <v/>
      </c>
      <c r="B133" s="7" t="str">
        <f aca="false">IF($C133="","",IFERROR(INDEX(案件マスタ!$A$4:$A$23,MATCH($C133,案件マスタ!$B$4:$B$23,0)),"?"))</f>
        <v/>
      </c>
      <c r="C133" s="8"/>
      <c r="D133" s="9"/>
      <c r="E133" s="10"/>
      <c r="F133" s="11"/>
      <c r="G133" s="11"/>
      <c r="H133" s="10"/>
      <c r="I133" s="12"/>
      <c r="J133" s="13" t="str">
        <f aca="true">IF(D133="","",IF(H133="完了","✓ DONE",IF(G133="","⚠ NO DUE",IF(G133&lt;TODAY(),"🔴 OVERDUE",IF(G133=TODAY(),"🟡 TODAY","")))))</f>
        <v/>
      </c>
      <c r="K133" s="14"/>
      <c r="L133" s="15" t="str">
        <f aca="false">IF(A133="","",SUMIFS(工数ログ!$E$4:$E$1003,工数ログ!$D$4:$D$1003,$A133))</f>
        <v/>
      </c>
      <c r="M133" s="9"/>
      <c r="N133" s="9"/>
      <c r="O133" s="11"/>
      <c r="P133" s="11"/>
      <c r="Q133" s="2"/>
      <c r="R133" s="2"/>
    </row>
    <row r="134" customFormat="false" ht="15" hidden="false" customHeight="false" outlineLevel="0" collapsed="false">
      <c r="A134" s="6" t="str">
        <f aca="false">IF(D134="","",ROW()-3)</f>
        <v/>
      </c>
      <c r="B134" s="7" t="str">
        <f aca="false">IF($C134="","",IFERROR(INDEX(案件マスタ!$A$4:$A$23,MATCH($C134,案件マスタ!$B$4:$B$23,0)),"?"))</f>
        <v/>
      </c>
      <c r="C134" s="8"/>
      <c r="D134" s="9"/>
      <c r="E134" s="10"/>
      <c r="F134" s="11"/>
      <c r="G134" s="11"/>
      <c r="H134" s="10"/>
      <c r="I134" s="12"/>
      <c r="J134" s="13" t="str">
        <f aca="true">IF(D134="","",IF(H134="完了","✓ DONE",IF(G134="","⚠ NO DUE",IF(G134&lt;TODAY(),"🔴 OVERDUE",IF(G134=TODAY(),"🟡 TODAY","")))))</f>
        <v/>
      </c>
      <c r="K134" s="14"/>
      <c r="L134" s="15" t="str">
        <f aca="false">IF(A134="","",SUMIFS(工数ログ!$E$4:$E$1003,工数ログ!$D$4:$D$1003,$A134))</f>
        <v/>
      </c>
      <c r="M134" s="9"/>
      <c r="N134" s="9"/>
      <c r="O134" s="11"/>
      <c r="P134" s="11"/>
      <c r="Q134" s="2"/>
      <c r="R134" s="2"/>
    </row>
    <row r="135" customFormat="false" ht="15" hidden="false" customHeight="false" outlineLevel="0" collapsed="false">
      <c r="A135" s="6" t="str">
        <f aca="false">IF(D135="","",ROW()-3)</f>
        <v/>
      </c>
      <c r="B135" s="7" t="str">
        <f aca="false">IF($C135="","",IFERROR(INDEX(案件マスタ!$A$4:$A$23,MATCH($C135,案件マスタ!$B$4:$B$23,0)),"?"))</f>
        <v/>
      </c>
      <c r="C135" s="8"/>
      <c r="D135" s="9"/>
      <c r="E135" s="10"/>
      <c r="F135" s="11"/>
      <c r="G135" s="11"/>
      <c r="H135" s="10"/>
      <c r="I135" s="12"/>
      <c r="J135" s="13" t="str">
        <f aca="true">IF(D135="","",IF(H135="完了","✓ DONE",IF(G135="","⚠ NO DUE",IF(G135&lt;TODAY(),"🔴 OVERDUE",IF(G135=TODAY(),"🟡 TODAY","")))))</f>
        <v/>
      </c>
      <c r="K135" s="14"/>
      <c r="L135" s="15" t="str">
        <f aca="false">IF(A135="","",SUMIFS(工数ログ!$E$4:$E$1003,工数ログ!$D$4:$D$1003,$A135))</f>
        <v/>
      </c>
      <c r="M135" s="9"/>
      <c r="N135" s="9"/>
      <c r="O135" s="11"/>
      <c r="P135" s="11"/>
      <c r="Q135" s="2"/>
      <c r="R135" s="2"/>
    </row>
    <row r="136" customFormat="false" ht="15" hidden="false" customHeight="false" outlineLevel="0" collapsed="false">
      <c r="A136" s="6" t="str">
        <f aca="false">IF(D136="","",ROW()-3)</f>
        <v/>
      </c>
      <c r="B136" s="7" t="str">
        <f aca="false">IF($C136="","",IFERROR(INDEX(案件マスタ!$A$4:$A$23,MATCH($C136,案件マスタ!$B$4:$B$23,0)),"?"))</f>
        <v/>
      </c>
      <c r="C136" s="8"/>
      <c r="D136" s="9"/>
      <c r="E136" s="10"/>
      <c r="F136" s="11"/>
      <c r="G136" s="11"/>
      <c r="H136" s="10"/>
      <c r="I136" s="12"/>
      <c r="J136" s="13" t="str">
        <f aca="true">IF(D136="","",IF(H136="完了","✓ DONE",IF(G136="","⚠ NO DUE",IF(G136&lt;TODAY(),"🔴 OVERDUE",IF(G136=TODAY(),"🟡 TODAY","")))))</f>
        <v/>
      </c>
      <c r="K136" s="14"/>
      <c r="L136" s="15" t="str">
        <f aca="false">IF(A136="","",SUMIFS(工数ログ!$E$4:$E$1003,工数ログ!$D$4:$D$1003,$A136))</f>
        <v/>
      </c>
      <c r="M136" s="9"/>
      <c r="N136" s="9"/>
      <c r="O136" s="11"/>
      <c r="P136" s="11"/>
      <c r="Q136" s="2"/>
      <c r="R136" s="2"/>
    </row>
    <row r="137" customFormat="false" ht="15" hidden="false" customHeight="false" outlineLevel="0" collapsed="false">
      <c r="A137" s="6" t="str">
        <f aca="false">IF(D137="","",ROW()-3)</f>
        <v/>
      </c>
      <c r="B137" s="7" t="str">
        <f aca="false">IF($C137="","",IFERROR(INDEX(案件マスタ!$A$4:$A$23,MATCH($C137,案件マスタ!$B$4:$B$23,0)),"?"))</f>
        <v/>
      </c>
      <c r="C137" s="8"/>
      <c r="D137" s="9"/>
      <c r="E137" s="10"/>
      <c r="F137" s="11"/>
      <c r="G137" s="11"/>
      <c r="H137" s="10"/>
      <c r="I137" s="12"/>
      <c r="J137" s="13" t="str">
        <f aca="true">IF(D137="","",IF(H137="完了","✓ DONE",IF(G137="","⚠ NO DUE",IF(G137&lt;TODAY(),"🔴 OVERDUE",IF(G137=TODAY(),"🟡 TODAY","")))))</f>
        <v/>
      </c>
      <c r="K137" s="14"/>
      <c r="L137" s="15" t="str">
        <f aca="false">IF(A137="","",SUMIFS(工数ログ!$E$4:$E$1003,工数ログ!$D$4:$D$1003,$A137))</f>
        <v/>
      </c>
      <c r="M137" s="9"/>
      <c r="N137" s="9"/>
      <c r="O137" s="11"/>
      <c r="P137" s="11"/>
      <c r="Q137" s="2"/>
      <c r="R137" s="2"/>
    </row>
    <row r="138" customFormat="false" ht="15" hidden="false" customHeight="false" outlineLevel="0" collapsed="false">
      <c r="A138" s="6" t="str">
        <f aca="false">IF(D138="","",ROW()-3)</f>
        <v/>
      </c>
      <c r="B138" s="7" t="str">
        <f aca="false">IF($C138="","",IFERROR(INDEX(案件マスタ!$A$4:$A$23,MATCH($C138,案件マスタ!$B$4:$B$23,0)),"?"))</f>
        <v/>
      </c>
      <c r="C138" s="8"/>
      <c r="D138" s="9"/>
      <c r="E138" s="10"/>
      <c r="F138" s="11"/>
      <c r="G138" s="11"/>
      <c r="H138" s="10"/>
      <c r="I138" s="12"/>
      <c r="J138" s="13" t="str">
        <f aca="true">IF(D138="","",IF(H138="完了","✓ DONE",IF(G138="","⚠ NO DUE",IF(G138&lt;TODAY(),"🔴 OVERDUE",IF(G138=TODAY(),"🟡 TODAY","")))))</f>
        <v/>
      </c>
      <c r="K138" s="14"/>
      <c r="L138" s="15" t="str">
        <f aca="false">IF(A138="","",SUMIFS(工数ログ!$E$4:$E$1003,工数ログ!$D$4:$D$1003,$A138))</f>
        <v/>
      </c>
      <c r="M138" s="9"/>
      <c r="N138" s="9"/>
      <c r="O138" s="11"/>
      <c r="P138" s="11"/>
      <c r="Q138" s="2"/>
      <c r="R138" s="2"/>
    </row>
    <row r="139" customFormat="false" ht="15" hidden="false" customHeight="false" outlineLevel="0" collapsed="false">
      <c r="A139" s="6" t="str">
        <f aca="false">IF(D139="","",ROW()-3)</f>
        <v/>
      </c>
      <c r="B139" s="7" t="str">
        <f aca="false">IF($C139="","",IFERROR(INDEX(案件マスタ!$A$4:$A$23,MATCH($C139,案件マスタ!$B$4:$B$23,0)),"?"))</f>
        <v/>
      </c>
      <c r="C139" s="8"/>
      <c r="D139" s="9"/>
      <c r="E139" s="10"/>
      <c r="F139" s="11"/>
      <c r="G139" s="11"/>
      <c r="H139" s="10"/>
      <c r="I139" s="12"/>
      <c r="J139" s="13" t="str">
        <f aca="true">IF(D139="","",IF(H139="完了","✓ DONE",IF(G139="","⚠ NO DUE",IF(G139&lt;TODAY(),"🔴 OVERDUE",IF(G139=TODAY(),"🟡 TODAY","")))))</f>
        <v/>
      </c>
      <c r="K139" s="14"/>
      <c r="L139" s="15" t="str">
        <f aca="false">IF(A139="","",SUMIFS(工数ログ!$E$4:$E$1003,工数ログ!$D$4:$D$1003,$A139))</f>
        <v/>
      </c>
      <c r="M139" s="9"/>
      <c r="N139" s="9"/>
      <c r="O139" s="11"/>
      <c r="P139" s="11"/>
      <c r="Q139" s="2"/>
      <c r="R139" s="2"/>
    </row>
    <row r="140" customFormat="false" ht="15" hidden="false" customHeight="false" outlineLevel="0" collapsed="false">
      <c r="A140" s="6" t="str">
        <f aca="false">IF(D140="","",ROW()-3)</f>
        <v/>
      </c>
      <c r="B140" s="7" t="str">
        <f aca="false">IF($C140="","",IFERROR(INDEX(案件マスタ!$A$4:$A$23,MATCH($C140,案件マスタ!$B$4:$B$23,0)),"?"))</f>
        <v/>
      </c>
      <c r="C140" s="8"/>
      <c r="D140" s="9"/>
      <c r="E140" s="10"/>
      <c r="F140" s="11"/>
      <c r="G140" s="11"/>
      <c r="H140" s="10"/>
      <c r="I140" s="12"/>
      <c r="J140" s="13" t="str">
        <f aca="true">IF(D140="","",IF(H140="完了","✓ DONE",IF(G140="","⚠ NO DUE",IF(G140&lt;TODAY(),"🔴 OVERDUE",IF(G140=TODAY(),"🟡 TODAY","")))))</f>
        <v/>
      </c>
      <c r="K140" s="14"/>
      <c r="L140" s="15" t="str">
        <f aca="false">IF(A140="","",SUMIFS(工数ログ!$E$4:$E$1003,工数ログ!$D$4:$D$1003,$A140))</f>
        <v/>
      </c>
      <c r="M140" s="9"/>
      <c r="N140" s="9"/>
      <c r="O140" s="11"/>
      <c r="P140" s="11"/>
      <c r="Q140" s="2"/>
      <c r="R140" s="2"/>
    </row>
    <row r="141" customFormat="false" ht="15" hidden="false" customHeight="false" outlineLevel="0" collapsed="false">
      <c r="A141" s="6" t="str">
        <f aca="false">IF(D141="","",ROW()-3)</f>
        <v/>
      </c>
      <c r="B141" s="7" t="str">
        <f aca="false">IF($C141="","",IFERROR(INDEX(案件マスタ!$A$4:$A$23,MATCH($C141,案件マスタ!$B$4:$B$23,0)),"?"))</f>
        <v/>
      </c>
      <c r="C141" s="8"/>
      <c r="D141" s="9"/>
      <c r="E141" s="10"/>
      <c r="F141" s="11"/>
      <c r="G141" s="11"/>
      <c r="H141" s="10"/>
      <c r="I141" s="12"/>
      <c r="J141" s="13" t="str">
        <f aca="true">IF(D141="","",IF(H141="完了","✓ DONE",IF(G141="","⚠ NO DUE",IF(G141&lt;TODAY(),"🔴 OVERDUE",IF(G141=TODAY(),"🟡 TODAY","")))))</f>
        <v/>
      </c>
      <c r="K141" s="14"/>
      <c r="L141" s="15" t="str">
        <f aca="false">IF(A141="","",SUMIFS(工数ログ!$E$4:$E$1003,工数ログ!$D$4:$D$1003,$A141))</f>
        <v/>
      </c>
      <c r="M141" s="9"/>
      <c r="N141" s="9"/>
      <c r="O141" s="11"/>
      <c r="P141" s="11"/>
      <c r="Q141" s="2"/>
      <c r="R141" s="2"/>
    </row>
    <row r="142" customFormat="false" ht="15" hidden="false" customHeight="false" outlineLevel="0" collapsed="false">
      <c r="A142" s="6" t="str">
        <f aca="false">IF(D142="","",ROW()-3)</f>
        <v/>
      </c>
      <c r="B142" s="7" t="str">
        <f aca="false">IF($C142="","",IFERROR(INDEX(案件マスタ!$A$4:$A$23,MATCH($C142,案件マスタ!$B$4:$B$23,0)),"?"))</f>
        <v/>
      </c>
      <c r="C142" s="8"/>
      <c r="D142" s="9"/>
      <c r="E142" s="10"/>
      <c r="F142" s="11"/>
      <c r="G142" s="11"/>
      <c r="H142" s="10"/>
      <c r="I142" s="12"/>
      <c r="J142" s="13" t="str">
        <f aca="true">IF(D142="","",IF(H142="完了","✓ DONE",IF(G142="","⚠ NO DUE",IF(G142&lt;TODAY(),"🔴 OVERDUE",IF(G142=TODAY(),"🟡 TODAY","")))))</f>
        <v/>
      </c>
      <c r="K142" s="14"/>
      <c r="L142" s="15" t="str">
        <f aca="false">IF(A142="","",SUMIFS(工数ログ!$E$4:$E$1003,工数ログ!$D$4:$D$1003,$A142))</f>
        <v/>
      </c>
      <c r="M142" s="9"/>
      <c r="N142" s="9"/>
      <c r="O142" s="11"/>
      <c r="P142" s="11"/>
      <c r="Q142" s="2"/>
      <c r="R142" s="2"/>
    </row>
    <row r="143" customFormat="false" ht="15" hidden="false" customHeight="false" outlineLevel="0" collapsed="false">
      <c r="A143" s="6" t="str">
        <f aca="false">IF(D143="","",ROW()-3)</f>
        <v/>
      </c>
      <c r="B143" s="7" t="str">
        <f aca="false">IF($C143="","",IFERROR(INDEX(案件マスタ!$A$4:$A$23,MATCH($C143,案件マスタ!$B$4:$B$23,0)),"?"))</f>
        <v/>
      </c>
      <c r="C143" s="8"/>
      <c r="D143" s="9"/>
      <c r="E143" s="10"/>
      <c r="F143" s="11"/>
      <c r="G143" s="11"/>
      <c r="H143" s="10"/>
      <c r="I143" s="12"/>
      <c r="J143" s="13" t="str">
        <f aca="true">IF(D143="","",IF(H143="完了","✓ DONE",IF(G143="","⚠ NO DUE",IF(G143&lt;TODAY(),"🔴 OVERDUE",IF(G143=TODAY(),"🟡 TODAY","")))))</f>
        <v/>
      </c>
      <c r="K143" s="14"/>
      <c r="L143" s="15" t="str">
        <f aca="false">IF(A143="","",SUMIFS(工数ログ!$E$4:$E$1003,工数ログ!$D$4:$D$1003,$A143))</f>
        <v/>
      </c>
      <c r="M143" s="9"/>
      <c r="N143" s="9"/>
      <c r="O143" s="11"/>
      <c r="P143" s="11"/>
      <c r="Q143" s="2"/>
      <c r="R143" s="2"/>
    </row>
    <row r="144" customFormat="false" ht="15" hidden="false" customHeight="false" outlineLevel="0" collapsed="false">
      <c r="A144" s="6" t="str">
        <f aca="false">IF(D144="","",ROW()-3)</f>
        <v/>
      </c>
      <c r="B144" s="7" t="str">
        <f aca="false">IF($C144="","",IFERROR(INDEX(案件マスタ!$A$4:$A$23,MATCH($C144,案件マスタ!$B$4:$B$23,0)),"?"))</f>
        <v/>
      </c>
      <c r="C144" s="8"/>
      <c r="D144" s="9"/>
      <c r="E144" s="10"/>
      <c r="F144" s="11"/>
      <c r="G144" s="11"/>
      <c r="H144" s="10"/>
      <c r="I144" s="12"/>
      <c r="J144" s="13" t="str">
        <f aca="true">IF(D144="","",IF(H144="完了","✓ DONE",IF(G144="","⚠ NO DUE",IF(G144&lt;TODAY(),"🔴 OVERDUE",IF(G144=TODAY(),"🟡 TODAY","")))))</f>
        <v/>
      </c>
      <c r="K144" s="14"/>
      <c r="L144" s="15" t="str">
        <f aca="false">IF(A144="","",SUMIFS(工数ログ!$E$4:$E$1003,工数ログ!$D$4:$D$1003,$A144))</f>
        <v/>
      </c>
      <c r="M144" s="9"/>
      <c r="N144" s="9"/>
      <c r="O144" s="11"/>
      <c r="P144" s="11"/>
      <c r="Q144" s="2"/>
      <c r="R144" s="2"/>
    </row>
    <row r="145" customFormat="false" ht="15" hidden="false" customHeight="false" outlineLevel="0" collapsed="false">
      <c r="A145" s="6" t="str">
        <f aca="false">IF(D145="","",ROW()-3)</f>
        <v/>
      </c>
      <c r="B145" s="7" t="str">
        <f aca="false">IF($C145="","",IFERROR(INDEX(案件マスタ!$A$4:$A$23,MATCH($C145,案件マスタ!$B$4:$B$23,0)),"?"))</f>
        <v/>
      </c>
      <c r="C145" s="8"/>
      <c r="D145" s="9"/>
      <c r="E145" s="10"/>
      <c r="F145" s="11"/>
      <c r="G145" s="11"/>
      <c r="H145" s="10"/>
      <c r="I145" s="12"/>
      <c r="J145" s="13" t="str">
        <f aca="true">IF(D145="","",IF(H145="完了","✓ DONE",IF(G145="","⚠ NO DUE",IF(G145&lt;TODAY(),"🔴 OVERDUE",IF(G145=TODAY(),"🟡 TODAY","")))))</f>
        <v/>
      </c>
      <c r="K145" s="14"/>
      <c r="L145" s="15" t="str">
        <f aca="false">IF(A145="","",SUMIFS(工数ログ!$E$4:$E$1003,工数ログ!$D$4:$D$1003,$A145))</f>
        <v/>
      </c>
      <c r="M145" s="9"/>
      <c r="N145" s="9"/>
      <c r="O145" s="11"/>
      <c r="P145" s="11"/>
      <c r="Q145" s="2"/>
      <c r="R145" s="2"/>
    </row>
    <row r="146" customFormat="false" ht="15" hidden="false" customHeight="false" outlineLevel="0" collapsed="false">
      <c r="A146" s="6" t="str">
        <f aca="false">IF(D146="","",ROW()-3)</f>
        <v/>
      </c>
      <c r="B146" s="7" t="str">
        <f aca="false">IF($C146="","",IFERROR(INDEX(案件マスタ!$A$4:$A$23,MATCH($C146,案件マスタ!$B$4:$B$23,0)),"?"))</f>
        <v/>
      </c>
      <c r="C146" s="8"/>
      <c r="D146" s="9"/>
      <c r="E146" s="10"/>
      <c r="F146" s="11"/>
      <c r="G146" s="11"/>
      <c r="H146" s="10"/>
      <c r="I146" s="12"/>
      <c r="J146" s="13" t="str">
        <f aca="true">IF(D146="","",IF(H146="完了","✓ DONE",IF(G146="","⚠ NO DUE",IF(G146&lt;TODAY(),"🔴 OVERDUE",IF(G146=TODAY(),"🟡 TODAY","")))))</f>
        <v/>
      </c>
      <c r="K146" s="14"/>
      <c r="L146" s="15" t="str">
        <f aca="false">IF(A146="","",SUMIFS(工数ログ!$E$4:$E$1003,工数ログ!$D$4:$D$1003,$A146))</f>
        <v/>
      </c>
      <c r="M146" s="9"/>
      <c r="N146" s="9"/>
      <c r="O146" s="11"/>
      <c r="P146" s="11"/>
      <c r="Q146" s="2"/>
      <c r="R146" s="2"/>
    </row>
    <row r="147" customFormat="false" ht="15" hidden="false" customHeight="false" outlineLevel="0" collapsed="false">
      <c r="A147" s="6" t="str">
        <f aca="false">IF(D147="","",ROW()-3)</f>
        <v/>
      </c>
      <c r="B147" s="7" t="str">
        <f aca="false">IF($C147="","",IFERROR(INDEX(案件マスタ!$A$4:$A$23,MATCH($C147,案件マスタ!$B$4:$B$23,0)),"?"))</f>
        <v/>
      </c>
      <c r="C147" s="8"/>
      <c r="D147" s="9"/>
      <c r="E147" s="10"/>
      <c r="F147" s="11"/>
      <c r="G147" s="11"/>
      <c r="H147" s="10"/>
      <c r="I147" s="12"/>
      <c r="J147" s="13" t="str">
        <f aca="true">IF(D147="","",IF(H147="完了","✓ DONE",IF(G147="","⚠ NO DUE",IF(G147&lt;TODAY(),"🔴 OVERDUE",IF(G147=TODAY(),"🟡 TODAY","")))))</f>
        <v/>
      </c>
      <c r="K147" s="14"/>
      <c r="L147" s="15" t="str">
        <f aca="false">IF(A147="","",SUMIFS(工数ログ!$E$4:$E$1003,工数ログ!$D$4:$D$1003,$A147))</f>
        <v/>
      </c>
      <c r="M147" s="9"/>
      <c r="N147" s="9"/>
      <c r="O147" s="11"/>
      <c r="P147" s="11"/>
      <c r="Q147" s="2"/>
      <c r="R147" s="2"/>
    </row>
    <row r="148" customFormat="false" ht="15" hidden="false" customHeight="false" outlineLevel="0" collapsed="false">
      <c r="A148" s="6" t="str">
        <f aca="false">IF(D148="","",ROW()-3)</f>
        <v/>
      </c>
      <c r="B148" s="7" t="str">
        <f aca="false">IF($C148="","",IFERROR(INDEX(案件マスタ!$A$4:$A$23,MATCH($C148,案件マスタ!$B$4:$B$23,0)),"?"))</f>
        <v/>
      </c>
      <c r="C148" s="8"/>
      <c r="D148" s="9"/>
      <c r="E148" s="10"/>
      <c r="F148" s="11"/>
      <c r="G148" s="11"/>
      <c r="H148" s="10"/>
      <c r="I148" s="12"/>
      <c r="J148" s="13" t="str">
        <f aca="true">IF(D148="","",IF(H148="完了","✓ DONE",IF(G148="","⚠ NO DUE",IF(G148&lt;TODAY(),"🔴 OVERDUE",IF(G148=TODAY(),"🟡 TODAY","")))))</f>
        <v/>
      </c>
      <c r="K148" s="14"/>
      <c r="L148" s="15" t="str">
        <f aca="false">IF(A148="","",SUMIFS(工数ログ!$E$4:$E$1003,工数ログ!$D$4:$D$1003,$A148))</f>
        <v/>
      </c>
      <c r="M148" s="9"/>
      <c r="N148" s="9"/>
      <c r="O148" s="11"/>
      <c r="P148" s="11"/>
      <c r="Q148" s="2"/>
      <c r="R148" s="2"/>
    </row>
    <row r="149" customFormat="false" ht="15" hidden="false" customHeight="false" outlineLevel="0" collapsed="false">
      <c r="A149" s="6" t="str">
        <f aca="false">IF(D149="","",ROW()-3)</f>
        <v/>
      </c>
      <c r="B149" s="7" t="str">
        <f aca="false">IF($C149="","",IFERROR(INDEX(案件マスタ!$A$4:$A$23,MATCH($C149,案件マスタ!$B$4:$B$23,0)),"?"))</f>
        <v/>
      </c>
      <c r="C149" s="8"/>
      <c r="D149" s="9"/>
      <c r="E149" s="10"/>
      <c r="F149" s="11"/>
      <c r="G149" s="11"/>
      <c r="H149" s="10"/>
      <c r="I149" s="12"/>
      <c r="J149" s="13" t="str">
        <f aca="true">IF(D149="","",IF(H149="完了","✓ DONE",IF(G149="","⚠ NO DUE",IF(G149&lt;TODAY(),"🔴 OVERDUE",IF(G149=TODAY(),"🟡 TODAY","")))))</f>
        <v/>
      </c>
      <c r="K149" s="14"/>
      <c r="L149" s="15" t="str">
        <f aca="false">IF(A149="","",SUMIFS(工数ログ!$E$4:$E$1003,工数ログ!$D$4:$D$1003,$A149))</f>
        <v/>
      </c>
      <c r="M149" s="9"/>
      <c r="N149" s="9"/>
      <c r="O149" s="11"/>
      <c r="P149" s="11"/>
      <c r="Q149" s="2"/>
      <c r="R149" s="2"/>
    </row>
    <row r="150" customFormat="false" ht="15" hidden="false" customHeight="false" outlineLevel="0" collapsed="false">
      <c r="A150" s="6" t="str">
        <f aca="false">IF(D150="","",ROW()-3)</f>
        <v/>
      </c>
      <c r="B150" s="7" t="str">
        <f aca="false">IF($C150="","",IFERROR(INDEX(案件マスタ!$A$4:$A$23,MATCH($C150,案件マスタ!$B$4:$B$23,0)),"?"))</f>
        <v/>
      </c>
      <c r="C150" s="8"/>
      <c r="D150" s="9"/>
      <c r="E150" s="10"/>
      <c r="F150" s="11"/>
      <c r="G150" s="11"/>
      <c r="H150" s="10"/>
      <c r="I150" s="12"/>
      <c r="J150" s="13" t="str">
        <f aca="true">IF(D150="","",IF(H150="完了","✓ DONE",IF(G150="","⚠ NO DUE",IF(G150&lt;TODAY(),"🔴 OVERDUE",IF(G150=TODAY(),"🟡 TODAY","")))))</f>
        <v/>
      </c>
      <c r="K150" s="14"/>
      <c r="L150" s="15" t="str">
        <f aca="false">IF(A150="","",SUMIFS(工数ログ!$E$4:$E$1003,工数ログ!$D$4:$D$1003,$A150))</f>
        <v/>
      </c>
      <c r="M150" s="9"/>
      <c r="N150" s="9"/>
      <c r="O150" s="11"/>
      <c r="P150" s="11"/>
      <c r="Q150" s="2"/>
      <c r="R150" s="2"/>
    </row>
    <row r="151" customFormat="false" ht="15" hidden="false" customHeight="false" outlineLevel="0" collapsed="false">
      <c r="A151" s="6" t="str">
        <f aca="false">IF(D151="","",ROW()-3)</f>
        <v/>
      </c>
      <c r="B151" s="7" t="str">
        <f aca="false">IF($C151="","",IFERROR(INDEX(案件マスタ!$A$4:$A$23,MATCH($C151,案件マスタ!$B$4:$B$23,0)),"?"))</f>
        <v/>
      </c>
      <c r="C151" s="8"/>
      <c r="D151" s="9"/>
      <c r="E151" s="10"/>
      <c r="F151" s="11"/>
      <c r="G151" s="11"/>
      <c r="H151" s="10"/>
      <c r="I151" s="12"/>
      <c r="J151" s="13" t="str">
        <f aca="true">IF(D151="","",IF(H151="完了","✓ DONE",IF(G151="","⚠ NO DUE",IF(G151&lt;TODAY(),"🔴 OVERDUE",IF(G151=TODAY(),"🟡 TODAY","")))))</f>
        <v/>
      </c>
      <c r="K151" s="14"/>
      <c r="L151" s="15" t="str">
        <f aca="false">IF(A151="","",SUMIFS(工数ログ!$E$4:$E$1003,工数ログ!$D$4:$D$1003,$A151))</f>
        <v/>
      </c>
      <c r="M151" s="9"/>
      <c r="N151" s="9"/>
      <c r="O151" s="11"/>
      <c r="P151" s="11"/>
      <c r="Q151" s="2"/>
      <c r="R151" s="2"/>
    </row>
    <row r="152" customFormat="false" ht="15" hidden="false" customHeight="false" outlineLevel="0" collapsed="false">
      <c r="A152" s="6" t="str">
        <f aca="false">IF(D152="","",ROW()-3)</f>
        <v/>
      </c>
      <c r="B152" s="7" t="str">
        <f aca="false">IF($C152="","",IFERROR(INDEX(案件マスタ!$A$4:$A$23,MATCH($C152,案件マスタ!$B$4:$B$23,0)),"?"))</f>
        <v/>
      </c>
      <c r="C152" s="8"/>
      <c r="D152" s="9"/>
      <c r="E152" s="10"/>
      <c r="F152" s="11"/>
      <c r="G152" s="11"/>
      <c r="H152" s="10"/>
      <c r="I152" s="12"/>
      <c r="J152" s="13" t="str">
        <f aca="true">IF(D152="","",IF(H152="完了","✓ DONE",IF(G152="","⚠ NO DUE",IF(G152&lt;TODAY(),"🔴 OVERDUE",IF(G152=TODAY(),"🟡 TODAY","")))))</f>
        <v/>
      </c>
      <c r="K152" s="14"/>
      <c r="L152" s="15" t="str">
        <f aca="false">IF(A152="","",SUMIFS(工数ログ!$E$4:$E$1003,工数ログ!$D$4:$D$1003,$A152))</f>
        <v/>
      </c>
      <c r="M152" s="9"/>
      <c r="N152" s="9"/>
      <c r="O152" s="11"/>
      <c r="P152" s="11"/>
      <c r="Q152" s="2"/>
      <c r="R152" s="2"/>
    </row>
    <row r="153" customFormat="false" ht="15" hidden="false" customHeight="false" outlineLevel="0" collapsed="false">
      <c r="A153" s="6" t="str">
        <f aca="false">IF(D153="","",ROW()-3)</f>
        <v/>
      </c>
      <c r="B153" s="7" t="str">
        <f aca="false">IF($C153="","",IFERROR(INDEX(案件マスタ!$A$4:$A$23,MATCH($C153,案件マスタ!$B$4:$B$23,0)),"?"))</f>
        <v/>
      </c>
      <c r="C153" s="8"/>
      <c r="D153" s="9"/>
      <c r="E153" s="10"/>
      <c r="F153" s="11"/>
      <c r="G153" s="11"/>
      <c r="H153" s="10"/>
      <c r="I153" s="12"/>
      <c r="J153" s="13" t="str">
        <f aca="true">IF(D153="","",IF(H153="完了","✓ DONE",IF(G153="","⚠ NO DUE",IF(G153&lt;TODAY(),"🔴 OVERDUE",IF(G153=TODAY(),"🟡 TODAY","")))))</f>
        <v/>
      </c>
      <c r="K153" s="14"/>
      <c r="L153" s="15" t="str">
        <f aca="false">IF(A153="","",SUMIFS(工数ログ!$E$4:$E$1003,工数ログ!$D$4:$D$1003,$A153))</f>
        <v/>
      </c>
      <c r="M153" s="9"/>
      <c r="N153" s="9"/>
      <c r="O153" s="11"/>
      <c r="P153" s="11"/>
      <c r="Q153" s="2"/>
      <c r="R153" s="2"/>
    </row>
    <row r="154" customFormat="false" ht="15" hidden="false" customHeight="false" outlineLevel="0" collapsed="false">
      <c r="A154" s="6" t="str">
        <f aca="false">IF(D154="","",ROW()-3)</f>
        <v/>
      </c>
      <c r="B154" s="7" t="str">
        <f aca="false">IF($C154="","",IFERROR(INDEX(案件マスタ!$A$4:$A$23,MATCH($C154,案件マスタ!$B$4:$B$23,0)),"?"))</f>
        <v/>
      </c>
      <c r="C154" s="8"/>
      <c r="D154" s="9"/>
      <c r="E154" s="10"/>
      <c r="F154" s="11"/>
      <c r="G154" s="11"/>
      <c r="H154" s="10"/>
      <c r="I154" s="12"/>
      <c r="J154" s="13" t="str">
        <f aca="true">IF(D154="","",IF(H154="完了","✓ DONE",IF(G154="","⚠ NO DUE",IF(G154&lt;TODAY(),"🔴 OVERDUE",IF(G154=TODAY(),"🟡 TODAY","")))))</f>
        <v/>
      </c>
      <c r="K154" s="14"/>
      <c r="L154" s="15" t="str">
        <f aca="false">IF(A154="","",SUMIFS(工数ログ!$E$4:$E$1003,工数ログ!$D$4:$D$1003,$A154))</f>
        <v/>
      </c>
      <c r="M154" s="9"/>
      <c r="N154" s="9"/>
      <c r="O154" s="11"/>
      <c r="P154" s="11"/>
      <c r="Q154" s="2"/>
      <c r="R154" s="2"/>
    </row>
    <row r="155" customFormat="false" ht="15" hidden="false" customHeight="false" outlineLevel="0" collapsed="false">
      <c r="A155" s="6" t="str">
        <f aca="false">IF(D155="","",ROW()-3)</f>
        <v/>
      </c>
      <c r="B155" s="7" t="str">
        <f aca="false">IF($C155="","",IFERROR(INDEX(案件マスタ!$A$4:$A$23,MATCH($C155,案件マスタ!$B$4:$B$23,0)),"?"))</f>
        <v/>
      </c>
      <c r="C155" s="8"/>
      <c r="D155" s="9"/>
      <c r="E155" s="10"/>
      <c r="F155" s="11"/>
      <c r="G155" s="11"/>
      <c r="H155" s="10"/>
      <c r="I155" s="12"/>
      <c r="J155" s="13" t="str">
        <f aca="true">IF(D155="","",IF(H155="完了","✓ DONE",IF(G155="","⚠ NO DUE",IF(G155&lt;TODAY(),"🔴 OVERDUE",IF(G155=TODAY(),"🟡 TODAY","")))))</f>
        <v/>
      </c>
      <c r="K155" s="14"/>
      <c r="L155" s="15" t="str">
        <f aca="false">IF(A155="","",SUMIFS(工数ログ!$E$4:$E$1003,工数ログ!$D$4:$D$1003,$A155))</f>
        <v/>
      </c>
      <c r="M155" s="9"/>
      <c r="N155" s="9"/>
      <c r="O155" s="11"/>
      <c r="P155" s="11"/>
      <c r="Q155" s="2"/>
      <c r="R155" s="2"/>
    </row>
    <row r="156" customFormat="false" ht="15" hidden="false" customHeight="false" outlineLevel="0" collapsed="false">
      <c r="A156" s="6" t="str">
        <f aca="false">IF(D156="","",ROW()-3)</f>
        <v/>
      </c>
      <c r="B156" s="7" t="str">
        <f aca="false">IF($C156="","",IFERROR(INDEX(案件マスタ!$A$4:$A$23,MATCH($C156,案件マスタ!$B$4:$B$23,0)),"?"))</f>
        <v/>
      </c>
      <c r="C156" s="8"/>
      <c r="D156" s="9"/>
      <c r="E156" s="10"/>
      <c r="F156" s="11"/>
      <c r="G156" s="11"/>
      <c r="H156" s="10"/>
      <c r="I156" s="12"/>
      <c r="J156" s="13" t="str">
        <f aca="true">IF(D156="","",IF(H156="完了","✓ DONE",IF(G156="","⚠ NO DUE",IF(G156&lt;TODAY(),"🔴 OVERDUE",IF(G156=TODAY(),"🟡 TODAY","")))))</f>
        <v/>
      </c>
      <c r="K156" s="14"/>
      <c r="L156" s="15" t="str">
        <f aca="false">IF(A156="","",SUMIFS(工数ログ!$E$4:$E$1003,工数ログ!$D$4:$D$1003,$A156))</f>
        <v/>
      </c>
      <c r="M156" s="9"/>
      <c r="N156" s="9"/>
      <c r="O156" s="11"/>
      <c r="P156" s="11"/>
      <c r="Q156" s="2"/>
      <c r="R156" s="2"/>
    </row>
    <row r="157" customFormat="false" ht="15" hidden="false" customHeight="false" outlineLevel="0" collapsed="false">
      <c r="A157" s="6" t="str">
        <f aca="false">IF(D157="","",ROW()-3)</f>
        <v/>
      </c>
      <c r="B157" s="7" t="str">
        <f aca="false">IF($C157="","",IFERROR(INDEX(案件マスタ!$A$4:$A$23,MATCH($C157,案件マスタ!$B$4:$B$23,0)),"?"))</f>
        <v/>
      </c>
      <c r="C157" s="8"/>
      <c r="D157" s="9"/>
      <c r="E157" s="10"/>
      <c r="F157" s="11"/>
      <c r="G157" s="11"/>
      <c r="H157" s="10"/>
      <c r="I157" s="12"/>
      <c r="J157" s="13" t="str">
        <f aca="true">IF(D157="","",IF(H157="完了","✓ DONE",IF(G157="","⚠ NO DUE",IF(G157&lt;TODAY(),"🔴 OVERDUE",IF(G157=TODAY(),"🟡 TODAY","")))))</f>
        <v/>
      </c>
      <c r="K157" s="14"/>
      <c r="L157" s="15" t="str">
        <f aca="false">IF(A157="","",SUMIFS(工数ログ!$E$4:$E$1003,工数ログ!$D$4:$D$1003,$A157))</f>
        <v/>
      </c>
      <c r="M157" s="9"/>
      <c r="N157" s="9"/>
      <c r="O157" s="11"/>
      <c r="P157" s="11"/>
      <c r="Q157" s="2"/>
      <c r="R157" s="2"/>
    </row>
    <row r="158" customFormat="false" ht="15" hidden="false" customHeight="false" outlineLevel="0" collapsed="false">
      <c r="A158" s="6" t="str">
        <f aca="false">IF(D158="","",ROW()-3)</f>
        <v/>
      </c>
      <c r="B158" s="7" t="str">
        <f aca="false">IF($C158="","",IFERROR(INDEX(案件マスタ!$A$4:$A$23,MATCH($C158,案件マスタ!$B$4:$B$23,0)),"?"))</f>
        <v/>
      </c>
      <c r="C158" s="8"/>
      <c r="D158" s="9"/>
      <c r="E158" s="10"/>
      <c r="F158" s="11"/>
      <c r="G158" s="11"/>
      <c r="H158" s="10"/>
      <c r="I158" s="12"/>
      <c r="J158" s="13" t="str">
        <f aca="true">IF(D158="","",IF(H158="完了","✓ DONE",IF(G158="","⚠ NO DUE",IF(G158&lt;TODAY(),"🔴 OVERDUE",IF(G158=TODAY(),"🟡 TODAY","")))))</f>
        <v/>
      </c>
      <c r="K158" s="14"/>
      <c r="L158" s="15" t="str">
        <f aca="false">IF(A158="","",SUMIFS(工数ログ!$E$4:$E$1003,工数ログ!$D$4:$D$1003,$A158))</f>
        <v/>
      </c>
      <c r="M158" s="9"/>
      <c r="N158" s="9"/>
      <c r="O158" s="11"/>
      <c r="P158" s="11"/>
      <c r="Q158" s="2"/>
      <c r="R158" s="2"/>
    </row>
    <row r="159" customFormat="false" ht="15" hidden="false" customHeight="false" outlineLevel="0" collapsed="false">
      <c r="A159" s="6" t="str">
        <f aca="false">IF(D159="","",ROW()-3)</f>
        <v/>
      </c>
      <c r="B159" s="7" t="str">
        <f aca="false">IF($C159="","",IFERROR(INDEX(案件マスタ!$A$4:$A$23,MATCH($C159,案件マスタ!$B$4:$B$23,0)),"?"))</f>
        <v/>
      </c>
      <c r="C159" s="8"/>
      <c r="D159" s="9"/>
      <c r="E159" s="10"/>
      <c r="F159" s="11"/>
      <c r="G159" s="11"/>
      <c r="H159" s="10"/>
      <c r="I159" s="12"/>
      <c r="J159" s="13" t="str">
        <f aca="true">IF(D159="","",IF(H159="完了","✓ DONE",IF(G159="","⚠ NO DUE",IF(G159&lt;TODAY(),"🔴 OVERDUE",IF(G159=TODAY(),"🟡 TODAY","")))))</f>
        <v/>
      </c>
      <c r="K159" s="14"/>
      <c r="L159" s="15" t="str">
        <f aca="false">IF(A159="","",SUMIFS(工数ログ!$E$4:$E$1003,工数ログ!$D$4:$D$1003,$A159))</f>
        <v/>
      </c>
      <c r="M159" s="9"/>
      <c r="N159" s="9"/>
      <c r="O159" s="11"/>
      <c r="P159" s="11"/>
      <c r="Q159" s="2"/>
      <c r="R159" s="2"/>
    </row>
    <row r="160" customFormat="false" ht="15" hidden="false" customHeight="false" outlineLevel="0" collapsed="false">
      <c r="A160" s="6" t="str">
        <f aca="false">IF(D160="","",ROW()-3)</f>
        <v/>
      </c>
      <c r="B160" s="7" t="str">
        <f aca="false">IF($C160="","",IFERROR(INDEX(案件マスタ!$A$4:$A$23,MATCH($C160,案件マスタ!$B$4:$B$23,0)),"?"))</f>
        <v/>
      </c>
      <c r="C160" s="8"/>
      <c r="D160" s="9"/>
      <c r="E160" s="10"/>
      <c r="F160" s="11"/>
      <c r="G160" s="11"/>
      <c r="H160" s="10"/>
      <c r="I160" s="12"/>
      <c r="J160" s="13" t="str">
        <f aca="true">IF(D160="","",IF(H160="完了","✓ DONE",IF(G160="","⚠ NO DUE",IF(G160&lt;TODAY(),"🔴 OVERDUE",IF(G160=TODAY(),"🟡 TODAY","")))))</f>
        <v/>
      </c>
      <c r="K160" s="14"/>
      <c r="L160" s="15" t="str">
        <f aca="false">IF(A160="","",SUMIFS(工数ログ!$E$4:$E$1003,工数ログ!$D$4:$D$1003,$A160))</f>
        <v/>
      </c>
      <c r="M160" s="9"/>
      <c r="N160" s="9"/>
      <c r="O160" s="11"/>
      <c r="P160" s="11"/>
      <c r="Q160" s="2"/>
      <c r="R160" s="2"/>
    </row>
    <row r="161" customFormat="false" ht="15" hidden="false" customHeight="false" outlineLevel="0" collapsed="false">
      <c r="A161" s="6" t="str">
        <f aca="false">IF(D161="","",ROW()-3)</f>
        <v/>
      </c>
      <c r="B161" s="7" t="str">
        <f aca="false">IF($C161="","",IFERROR(INDEX(案件マスタ!$A$4:$A$23,MATCH($C161,案件マスタ!$B$4:$B$23,0)),"?"))</f>
        <v/>
      </c>
      <c r="C161" s="8"/>
      <c r="D161" s="9"/>
      <c r="E161" s="10"/>
      <c r="F161" s="11"/>
      <c r="G161" s="11"/>
      <c r="H161" s="10"/>
      <c r="I161" s="12"/>
      <c r="J161" s="13" t="str">
        <f aca="true">IF(D161="","",IF(H161="完了","✓ DONE",IF(G161="","⚠ NO DUE",IF(G161&lt;TODAY(),"🔴 OVERDUE",IF(G161=TODAY(),"🟡 TODAY","")))))</f>
        <v/>
      </c>
      <c r="K161" s="14"/>
      <c r="L161" s="15" t="str">
        <f aca="false">IF(A161="","",SUMIFS(工数ログ!$E$4:$E$1003,工数ログ!$D$4:$D$1003,$A161))</f>
        <v/>
      </c>
      <c r="M161" s="9"/>
      <c r="N161" s="9"/>
      <c r="O161" s="11"/>
      <c r="P161" s="11"/>
      <c r="Q161" s="2"/>
      <c r="R161" s="2"/>
    </row>
    <row r="162" customFormat="false" ht="15" hidden="false" customHeight="false" outlineLevel="0" collapsed="false">
      <c r="A162" s="6" t="str">
        <f aca="false">IF(D162="","",ROW()-3)</f>
        <v/>
      </c>
      <c r="B162" s="7" t="str">
        <f aca="false">IF($C162="","",IFERROR(INDEX(案件マスタ!$A$4:$A$23,MATCH($C162,案件マスタ!$B$4:$B$23,0)),"?"))</f>
        <v/>
      </c>
      <c r="C162" s="8"/>
      <c r="D162" s="9"/>
      <c r="E162" s="10"/>
      <c r="F162" s="11"/>
      <c r="G162" s="11"/>
      <c r="H162" s="10"/>
      <c r="I162" s="12"/>
      <c r="J162" s="13" t="str">
        <f aca="true">IF(D162="","",IF(H162="完了","✓ DONE",IF(G162="","⚠ NO DUE",IF(G162&lt;TODAY(),"🔴 OVERDUE",IF(G162=TODAY(),"🟡 TODAY","")))))</f>
        <v/>
      </c>
      <c r="K162" s="14"/>
      <c r="L162" s="15" t="str">
        <f aca="false">IF(A162="","",SUMIFS(工数ログ!$E$4:$E$1003,工数ログ!$D$4:$D$1003,$A162))</f>
        <v/>
      </c>
      <c r="M162" s="9"/>
      <c r="N162" s="9"/>
      <c r="O162" s="11"/>
      <c r="P162" s="11"/>
      <c r="Q162" s="2"/>
      <c r="R162" s="2"/>
    </row>
    <row r="163" customFormat="false" ht="15" hidden="false" customHeight="false" outlineLevel="0" collapsed="false">
      <c r="A163" s="6" t="str">
        <f aca="false">IF(D163="","",ROW()-3)</f>
        <v/>
      </c>
      <c r="B163" s="7" t="str">
        <f aca="false">IF($C163="","",IFERROR(INDEX(案件マスタ!$A$4:$A$23,MATCH($C163,案件マスタ!$B$4:$B$23,0)),"?"))</f>
        <v/>
      </c>
      <c r="C163" s="8"/>
      <c r="D163" s="9"/>
      <c r="E163" s="10"/>
      <c r="F163" s="11"/>
      <c r="G163" s="11"/>
      <c r="H163" s="10"/>
      <c r="I163" s="12"/>
      <c r="J163" s="13" t="str">
        <f aca="true">IF(D163="","",IF(H163="完了","✓ DONE",IF(G163="","⚠ NO DUE",IF(G163&lt;TODAY(),"🔴 OVERDUE",IF(G163=TODAY(),"🟡 TODAY","")))))</f>
        <v/>
      </c>
      <c r="K163" s="14"/>
      <c r="L163" s="15" t="str">
        <f aca="false">IF(A163="","",SUMIFS(工数ログ!$E$4:$E$1003,工数ログ!$D$4:$D$1003,$A163))</f>
        <v/>
      </c>
      <c r="M163" s="9"/>
      <c r="N163" s="9"/>
      <c r="O163" s="11"/>
      <c r="P163" s="11"/>
      <c r="Q163" s="2"/>
      <c r="R163" s="2"/>
    </row>
    <row r="164" customFormat="false" ht="15" hidden="false" customHeight="false" outlineLevel="0" collapsed="false">
      <c r="A164" s="6" t="str">
        <f aca="false">IF(D164="","",ROW()-3)</f>
        <v/>
      </c>
      <c r="B164" s="7" t="str">
        <f aca="false">IF($C164="","",IFERROR(INDEX(案件マスタ!$A$4:$A$23,MATCH($C164,案件マスタ!$B$4:$B$23,0)),"?"))</f>
        <v/>
      </c>
      <c r="C164" s="8"/>
      <c r="D164" s="9"/>
      <c r="E164" s="10"/>
      <c r="F164" s="11"/>
      <c r="G164" s="11"/>
      <c r="H164" s="10"/>
      <c r="I164" s="12"/>
      <c r="J164" s="13" t="str">
        <f aca="true">IF(D164="","",IF(H164="完了","✓ DONE",IF(G164="","⚠ NO DUE",IF(G164&lt;TODAY(),"🔴 OVERDUE",IF(G164=TODAY(),"🟡 TODAY","")))))</f>
        <v/>
      </c>
      <c r="K164" s="14"/>
      <c r="L164" s="15" t="str">
        <f aca="false">IF(A164="","",SUMIFS(工数ログ!$E$4:$E$1003,工数ログ!$D$4:$D$1003,$A164))</f>
        <v/>
      </c>
      <c r="M164" s="9"/>
      <c r="N164" s="9"/>
      <c r="O164" s="11"/>
      <c r="P164" s="11"/>
      <c r="Q164" s="2"/>
      <c r="R164" s="2"/>
    </row>
    <row r="165" customFormat="false" ht="15" hidden="false" customHeight="false" outlineLevel="0" collapsed="false">
      <c r="A165" s="6" t="str">
        <f aca="false">IF(D165="","",ROW()-3)</f>
        <v/>
      </c>
      <c r="B165" s="7" t="str">
        <f aca="false">IF($C165="","",IFERROR(INDEX(案件マスタ!$A$4:$A$23,MATCH($C165,案件マスタ!$B$4:$B$23,0)),"?"))</f>
        <v/>
      </c>
      <c r="C165" s="8"/>
      <c r="D165" s="9"/>
      <c r="E165" s="10"/>
      <c r="F165" s="11"/>
      <c r="G165" s="11"/>
      <c r="H165" s="10"/>
      <c r="I165" s="12"/>
      <c r="J165" s="13" t="str">
        <f aca="true">IF(D165="","",IF(H165="完了","✓ DONE",IF(G165="","⚠ NO DUE",IF(G165&lt;TODAY(),"🔴 OVERDUE",IF(G165=TODAY(),"🟡 TODAY","")))))</f>
        <v/>
      </c>
      <c r="K165" s="14"/>
      <c r="L165" s="15" t="str">
        <f aca="false">IF(A165="","",SUMIFS(工数ログ!$E$4:$E$1003,工数ログ!$D$4:$D$1003,$A165))</f>
        <v/>
      </c>
      <c r="M165" s="9"/>
      <c r="N165" s="9"/>
      <c r="O165" s="11"/>
      <c r="P165" s="11"/>
      <c r="Q165" s="2"/>
      <c r="R165" s="2"/>
    </row>
    <row r="166" customFormat="false" ht="15" hidden="false" customHeight="false" outlineLevel="0" collapsed="false">
      <c r="A166" s="6" t="str">
        <f aca="false">IF(D166="","",ROW()-3)</f>
        <v/>
      </c>
      <c r="B166" s="7" t="str">
        <f aca="false">IF($C166="","",IFERROR(INDEX(案件マスタ!$A$4:$A$23,MATCH($C166,案件マスタ!$B$4:$B$23,0)),"?"))</f>
        <v/>
      </c>
      <c r="C166" s="8"/>
      <c r="D166" s="9"/>
      <c r="E166" s="10"/>
      <c r="F166" s="11"/>
      <c r="G166" s="11"/>
      <c r="H166" s="10"/>
      <c r="I166" s="12"/>
      <c r="J166" s="13" t="str">
        <f aca="true">IF(D166="","",IF(H166="完了","✓ DONE",IF(G166="","⚠ NO DUE",IF(G166&lt;TODAY(),"🔴 OVERDUE",IF(G166=TODAY(),"🟡 TODAY","")))))</f>
        <v/>
      </c>
      <c r="K166" s="14"/>
      <c r="L166" s="15" t="str">
        <f aca="false">IF(A166="","",SUMIFS(工数ログ!$E$4:$E$1003,工数ログ!$D$4:$D$1003,$A166))</f>
        <v/>
      </c>
      <c r="M166" s="9"/>
      <c r="N166" s="9"/>
      <c r="O166" s="11"/>
      <c r="P166" s="11"/>
      <c r="Q166" s="2"/>
      <c r="R166" s="2"/>
    </row>
    <row r="167" customFormat="false" ht="15" hidden="false" customHeight="false" outlineLevel="0" collapsed="false">
      <c r="A167" s="6" t="str">
        <f aca="false">IF(D167="","",ROW()-3)</f>
        <v/>
      </c>
      <c r="B167" s="7" t="str">
        <f aca="false">IF($C167="","",IFERROR(INDEX(案件マスタ!$A$4:$A$23,MATCH($C167,案件マスタ!$B$4:$B$23,0)),"?"))</f>
        <v/>
      </c>
      <c r="C167" s="8"/>
      <c r="D167" s="9"/>
      <c r="E167" s="10"/>
      <c r="F167" s="11"/>
      <c r="G167" s="11"/>
      <c r="H167" s="10"/>
      <c r="I167" s="12"/>
      <c r="J167" s="13" t="str">
        <f aca="true">IF(D167="","",IF(H167="完了","✓ DONE",IF(G167="","⚠ NO DUE",IF(G167&lt;TODAY(),"🔴 OVERDUE",IF(G167=TODAY(),"🟡 TODAY","")))))</f>
        <v/>
      </c>
      <c r="K167" s="14"/>
      <c r="L167" s="15" t="str">
        <f aca="false">IF(A167="","",SUMIFS(工数ログ!$E$4:$E$1003,工数ログ!$D$4:$D$1003,$A167))</f>
        <v/>
      </c>
      <c r="M167" s="9"/>
      <c r="N167" s="9"/>
      <c r="O167" s="11"/>
      <c r="P167" s="11"/>
      <c r="Q167" s="2"/>
      <c r="R167" s="2"/>
    </row>
    <row r="168" customFormat="false" ht="15" hidden="false" customHeight="false" outlineLevel="0" collapsed="false">
      <c r="A168" s="6" t="str">
        <f aca="false">IF(D168="","",ROW()-3)</f>
        <v/>
      </c>
      <c r="B168" s="7" t="str">
        <f aca="false">IF($C168="","",IFERROR(INDEX(案件マスタ!$A$4:$A$23,MATCH($C168,案件マスタ!$B$4:$B$23,0)),"?"))</f>
        <v/>
      </c>
      <c r="C168" s="8"/>
      <c r="D168" s="9"/>
      <c r="E168" s="10"/>
      <c r="F168" s="11"/>
      <c r="G168" s="11"/>
      <c r="H168" s="10"/>
      <c r="I168" s="12"/>
      <c r="J168" s="13" t="str">
        <f aca="true">IF(D168="","",IF(H168="完了","✓ DONE",IF(G168="","⚠ NO DUE",IF(G168&lt;TODAY(),"🔴 OVERDUE",IF(G168=TODAY(),"🟡 TODAY","")))))</f>
        <v/>
      </c>
      <c r="K168" s="14"/>
      <c r="L168" s="15" t="str">
        <f aca="false">IF(A168="","",SUMIFS(工数ログ!$E$4:$E$1003,工数ログ!$D$4:$D$1003,$A168))</f>
        <v/>
      </c>
      <c r="M168" s="9"/>
      <c r="N168" s="9"/>
      <c r="O168" s="11"/>
      <c r="P168" s="11"/>
      <c r="Q168" s="2"/>
      <c r="R168" s="2"/>
    </row>
    <row r="169" customFormat="false" ht="15" hidden="false" customHeight="false" outlineLevel="0" collapsed="false">
      <c r="A169" s="6" t="str">
        <f aca="false">IF(D169="","",ROW()-3)</f>
        <v/>
      </c>
      <c r="B169" s="7" t="str">
        <f aca="false">IF($C169="","",IFERROR(INDEX(案件マスタ!$A$4:$A$23,MATCH($C169,案件マスタ!$B$4:$B$23,0)),"?"))</f>
        <v/>
      </c>
      <c r="C169" s="8"/>
      <c r="D169" s="9"/>
      <c r="E169" s="10"/>
      <c r="F169" s="11"/>
      <c r="G169" s="11"/>
      <c r="H169" s="10"/>
      <c r="I169" s="12"/>
      <c r="J169" s="13" t="str">
        <f aca="true">IF(D169="","",IF(H169="完了","✓ DONE",IF(G169="","⚠ NO DUE",IF(G169&lt;TODAY(),"🔴 OVERDUE",IF(G169=TODAY(),"🟡 TODAY","")))))</f>
        <v/>
      </c>
      <c r="K169" s="14"/>
      <c r="L169" s="15" t="str">
        <f aca="false">IF(A169="","",SUMIFS(工数ログ!$E$4:$E$1003,工数ログ!$D$4:$D$1003,$A169))</f>
        <v/>
      </c>
      <c r="M169" s="9"/>
      <c r="N169" s="9"/>
      <c r="O169" s="11"/>
      <c r="P169" s="11"/>
      <c r="Q169" s="2"/>
      <c r="R169" s="2"/>
    </row>
    <row r="170" customFormat="false" ht="15" hidden="false" customHeight="false" outlineLevel="0" collapsed="false">
      <c r="A170" s="6" t="str">
        <f aca="false">IF(D170="","",ROW()-3)</f>
        <v/>
      </c>
      <c r="B170" s="7" t="str">
        <f aca="false">IF($C170="","",IFERROR(INDEX(案件マスタ!$A$4:$A$23,MATCH($C170,案件マスタ!$B$4:$B$23,0)),"?"))</f>
        <v/>
      </c>
      <c r="C170" s="8"/>
      <c r="D170" s="9"/>
      <c r="E170" s="10"/>
      <c r="F170" s="11"/>
      <c r="G170" s="11"/>
      <c r="H170" s="10"/>
      <c r="I170" s="12"/>
      <c r="J170" s="13" t="str">
        <f aca="true">IF(D170="","",IF(H170="完了","✓ DONE",IF(G170="","⚠ NO DUE",IF(G170&lt;TODAY(),"🔴 OVERDUE",IF(G170=TODAY(),"🟡 TODAY","")))))</f>
        <v/>
      </c>
      <c r="K170" s="14"/>
      <c r="L170" s="15" t="str">
        <f aca="false">IF(A170="","",SUMIFS(工数ログ!$E$4:$E$1003,工数ログ!$D$4:$D$1003,$A170))</f>
        <v/>
      </c>
      <c r="M170" s="9"/>
      <c r="N170" s="9"/>
      <c r="O170" s="11"/>
      <c r="P170" s="11"/>
      <c r="Q170" s="2"/>
      <c r="R170" s="2"/>
    </row>
    <row r="171" customFormat="false" ht="15" hidden="false" customHeight="false" outlineLevel="0" collapsed="false">
      <c r="A171" s="6" t="str">
        <f aca="false">IF(D171="","",ROW()-3)</f>
        <v/>
      </c>
      <c r="B171" s="7" t="str">
        <f aca="false">IF($C171="","",IFERROR(INDEX(案件マスタ!$A$4:$A$23,MATCH($C171,案件マスタ!$B$4:$B$23,0)),"?"))</f>
        <v/>
      </c>
      <c r="C171" s="8"/>
      <c r="D171" s="9"/>
      <c r="E171" s="10"/>
      <c r="F171" s="11"/>
      <c r="G171" s="11"/>
      <c r="H171" s="10"/>
      <c r="I171" s="12"/>
      <c r="J171" s="13" t="str">
        <f aca="true">IF(D171="","",IF(H171="完了","✓ DONE",IF(G171="","⚠ NO DUE",IF(G171&lt;TODAY(),"🔴 OVERDUE",IF(G171=TODAY(),"🟡 TODAY","")))))</f>
        <v/>
      </c>
      <c r="K171" s="14"/>
      <c r="L171" s="15" t="str">
        <f aca="false">IF(A171="","",SUMIFS(工数ログ!$E$4:$E$1003,工数ログ!$D$4:$D$1003,$A171))</f>
        <v/>
      </c>
      <c r="M171" s="9"/>
      <c r="N171" s="9"/>
      <c r="O171" s="11"/>
      <c r="P171" s="11"/>
      <c r="Q171" s="2"/>
      <c r="R171" s="2"/>
    </row>
    <row r="172" customFormat="false" ht="15" hidden="false" customHeight="false" outlineLevel="0" collapsed="false">
      <c r="A172" s="6" t="str">
        <f aca="false">IF(D172="","",ROW()-3)</f>
        <v/>
      </c>
      <c r="B172" s="7" t="str">
        <f aca="false">IF($C172="","",IFERROR(INDEX(案件マスタ!$A$4:$A$23,MATCH($C172,案件マスタ!$B$4:$B$23,0)),"?"))</f>
        <v/>
      </c>
      <c r="C172" s="8"/>
      <c r="D172" s="9"/>
      <c r="E172" s="10"/>
      <c r="F172" s="11"/>
      <c r="G172" s="11"/>
      <c r="H172" s="10"/>
      <c r="I172" s="12"/>
      <c r="J172" s="13" t="str">
        <f aca="true">IF(D172="","",IF(H172="完了","✓ DONE",IF(G172="","⚠ NO DUE",IF(G172&lt;TODAY(),"🔴 OVERDUE",IF(G172=TODAY(),"🟡 TODAY","")))))</f>
        <v/>
      </c>
      <c r="K172" s="14"/>
      <c r="L172" s="15" t="str">
        <f aca="false">IF(A172="","",SUMIFS(工数ログ!$E$4:$E$1003,工数ログ!$D$4:$D$1003,$A172))</f>
        <v/>
      </c>
      <c r="M172" s="9"/>
      <c r="N172" s="9"/>
      <c r="O172" s="11"/>
      <c r="P172" s="11"/>
      <c r="Q172" s="2"/>
      <c r="R172" s="2"/>
    </row>
    <row r="173" customFormat="false" ht="15" hidden="false" customHeight="false" outlineLevel="0" collapsed="false">
      <c r="A173" s="6" t="str">
        <f aca="false">IF(D173="","",ROW()-3)</f>
        <v/>
      </c>
      <c r="B173" s="7" t="str">
        <f aca="false">IF($C173="","",IFERROR(INDEX(案件マスタ!$A$4:$A$23,MATCH($C173,案件マスタ!$B$4:$B$23,0)),"?"))</f>
        <v/>
      </c>
      <c r="C173" s="8"/>
      <c r="D173" s="9"/>
      <c r="E173" s="10"/>
      <c r="F173" s="11"/>
      <c r="G173" s="11"/>
      <c r="H173" s="10"/>
      <c r="I173" s="12"/>
      <c r="J173" s="13" t="str">
        <f aca="true">IF(D173="","",IF(H173="完了","✓ DONE",IF(G173="","⚠ NO DUE",IF(G173&lt;TODAY(),"🔴 OVERDUE",IF(G173=TODAY(),"🟡 TODAY","")))))</f>
        <v/>
      </c>
      <c r="K173" s="14"/>
      <c r="L173" s="15" t="str">
        <f aca="false">IF(A173="","",SUMIFS(工数ログ!$E$4:$E$1003,工数ログ!$D$4:$D$1003,$A173))</f>
        <v/>
      </c>
      <c r="M173" s="9"/>
      <c r="N173" s="9"/>
      <c r="O173" s="11"/>
      <c r="P173" s="11"/>
      <c r="Q173" s="2"/>
      <c r="R173" s="2"/>
    </row>
    <row r="174" customFormat="false" ht="15" hidden="false" customHeight="false" outlineLevel="0" collapsed="false">
      <c r="A174" s="6" t="str">
        <f aca="false">IF(D174="","",ROW()-3)</f>
        <v/>
      </c>
      <c r="B174" s="7" t="str">
        <f aca="false">IF($C174="","",IFERROR(INDEX(案件マスタ!$A$4:$A$23,MATCH($C174,案件マスタ!$B$4:$B$23,0)),"?"))</f>
        <v/>
      </c>
      <c r="C174" s="8"/>
      <c r="D174" s="9"/>
      <c r="E174" s="10"/>
      <c r="F174" s="11"/>
      <c r="G174" s="11"/>
      <c r="H174" s="10"/>
      <c r="I174" s="12"/>
      <c r="J174" s="13" t="str">
        <f aca="true">IF(D174="","",IF(H174="完了","✓ DONE",IF(G174="","⚠ NO DUE",IF(G174&lt;TODAY(),"🔴 OVERDUE",IF(G174=TODAY(),"🟡 TODAY","")))))</f>
        <v/>
      </c>
      <c r="K174" s="14"/>
      <c r="L174" s="15" t="str">
        <f aca="false">IF(A174="","",SUMIFS(工数ログ!$E$4:$E$1003,工数ログ!$D$4:$D$1003,$A174))</f>
        <v/>
      </c>
      <c r="M174" s="9"/>
      <c r="N174" s="9"/>
      <c r="O174" s="11"/>
      <c r="P174" s="11"/>
      <c r="Q174" s="2"/>
      <c r="R174" s="2"/>
    </row>
    <row r="175" customFormat="false" ht="15" hidden="false" customHeight="false" outlineLevel="0" collapsed="false">
      <c r="A175" s="6" t="str">
        <f aca="false">IF(D175="","",ROW()-3)</f>
        <v/>
      </c>
      <c r="B175" s="7" t="str">
        <f aca="false">IF($C175="","",IFERROR(INDEX(案件マスタ!$A$4:$A$23,MATCH($C175,案件マスタ!$B$4:$B$23,0)),"?"))</f>
        <v/>
      </c>
      <c r="C175" s="8"/>
      <c r="D175" s="9"/>
      <c r="E175" s="10"/>
      <c r="F175" s="11"/>
      <c r="G175" s="11"/>
      <c r="H175" s="10"/>
      <c r="I175" s="12"/>
      <c r="J175" s="13" t="str">
        <f aca="true">IF(D175="","",IF(H175="完了","✓ DONE",IF(G175="","⚠ NO DUE",IF(G175&lt;TODAY(),"🔴 OVERDUE",IF(G175=TODAY(),"🟡 TODAY","")))))</f>
        <v/>
      </c>
      <c r="K175" s="14"/>
      <c r="L175" s="15" t="str">
        <f aca="false">IF(A175="","",SUMIFS(工数ログ!$E$4:$E$1003,工数ログ!$D$4:$D$1003,$A175))</f>
        <v/>
      </c>
      <c r="M175" s="9"/>
      <c r="N175" s="9"/>
      <c r="O175" s="11"/>
      <c r="P175" s="11"/>
      <c r="Q175" s="2"/>
      <c r="R175" s="2"/>
    </row>
    <row r="176" customFormat="false" ht="15" hidden="false" customHeight="false" outlineLevel="0" collapsed="false">
      <c r="A176" s="6" t="str">
        <f aca="false">IF(D176="","",ROW()-3)</f>
        <v/>
      </c>
      <c r="B176" s="7" t="str">
        <f aca="false">IF($C176="","",IFERROR(INDEX(案件マスタ!$A$4:$A$23,MATCH($C176,案件マスタ!$B$4:$B$23,0)),"?"))</f>
        <v/>
      </c>
      <c r="C176" s="8"/>
      <c r="D176" s="9"/>
      <c r="E176" s="10"/>
      <c r="F176" s="11"/>
      <c r="G176" s="11"/>
      <c r="H176" s="10"/>
      <c r="I176" s="12"/>
      <c r="J176" s="13" t="str">
        <f aca="true">IF(D176="","",IF(H176="完了","✓ DONE",IF(G176="","⚠ NO DUE",IF(G176&lt;TODAY(),"🔴 OVERDUE",IF(G176=TODAY(),"🟡 TODAY","")))))</f>
        <v/>
      </c>
      <c r="K176" s="14"/>
      <c r="L176" s="15" t="str">
        <f aca="false">IF(A176="","",SUMIFS(工数ログ!$E$4:$E$1003,工数ログ!$D$4:$D$1003,$A176))</f>
        <v/>
      </c>
      <c r="M176" s="9"/>
      <c r="N176" s="9"/>
      <c r="O176" s="11"/>
      <c r="P176" s="11"/>
      <c r="Q176" s="2"/>
      <c r="R176" s="2"/>
    </row>
    <row r="177" customFormat="false" ht="15" hidden="false" customHeight="false" outlineLevel="0" collapsed="false">
      <c r="A177" s="6" t="str">
        <f aca="false">IF(D177="","",ROW()-3)</f>
        <v/>
      </c>
      <c r="B177" s="7" t="str">
        <f aca="false">IF($C177="","",IFERROR(INDEX(案件マスタ!$A$4:$A$23,MATCH($C177,案件マスタ!$B$4:$B$23,0)),"?"))</f>
        <v/>
      </c>
      <c r="C177" s="8"/>
      <c r="D177" s="9"/>
      <c r="E177" s="10"/>
      <c r="F177" s="11"/>
      <c r="G177" s="11"/>
      <c r="H177" s="10"/>
      <c r="I177" s="12"/>
      <c r="J177" s="13" t="str">
        <f aca="true">IF(D177="","",IF(H177="完了","✓ DONE",IF(G177="","⚠ NO DUE",IF(G177&lt;TODAY(),"🔴 OVERDUE",IF(G177=TODAY(),"🟡 TODAY","")))))</f>
        <v/>
      </c>
      <c r="K177" s="14"/>
      <c r="L177" s="15" t="str">
        <f aca="false">IF(A177="","",SUMIFS(工数ログ!$E$4:$E$1003,工数ログ!$D$4:$D$1003,$A177))</f>
        <v/>
      </c>
      <c r="M177" s="9"/>
      <c r="N177" s="9"/>
      <c r="O177" s="11"/>
      <c r="P177" s="11"/>
      <c r="Q177" s="2"/>
      <c r="R177" s="2"/>
    </row>
    <row r="178" customFormat="false" ht="15" hidden="false" customHeight="false" outlineLevel="0" collapsed="false">
      <c r="A178" s="6" t="str">
        <f aca="false">IF(D178="","",ROW()-3)</f>
        <v/>
      </c>
      <c r="B178" s="7" t="str">
        <f aca="false">IF($C178="","",IFERROR(INDEX(案件マスタ!$A$4:$A$23,MATCH($C178,案件マスタ!$B$4:$B$23,0)),"?"))</f>
        <v/>
      </c>
      <c r="C178" s="8"/>
      <c r="D178" s="9"/>
      <c r="E178" s="10"/>
      <c r="F178" s="11"/>
      <c r="G178" s="11"/>
      <c r="H178" s="10"/>
      <c r="I178" s="12"/>
      <c r="J178" s="13" t="str">
        <f aca="true">IF(D178="","",IF(H178="完了","✓ DONE",IF(G178="","⚠ NO DUE",IF(G178&lt;TODAY(),"🔴 OVERDUE",IF(G178=TODAY(),"🟡 TODAY","")))))</f>
        <v/>
      </c>
      <c r="K178" s="14"/>
      <c r="L178" s="15" t="str">
        <f aca="false">IF(A178="","",SUMIFS(工数ログ!$E$4:$E$1003,工数ログ!$D$4:$D$1003,$A178))</f>
        <v/>
      </c>
      <c r="M178" s="9"/>
      <c r="N178" s="9"/>
      <c r="O178" s="11"/>
      <c r="P178" s="11"/>
      <c r="Q178" s="2"/>
      <c r="R178" s="2"/>
    </row>
    <row r="179" customFormat="false" ht="15" hidden="false" customHeight="false" outlineLevel="0" collapsed="false">
      <c r="A179" s="6" t="str">
        <f aca="false">IF(D179="","",ROW()-3)</f>
        <v/>
      </c>
      <c r="B179" s="7" t="str">
        <f aca="false">IF($C179="","",IFERROR(INDEX(案件マスタ!$A$4:$A$23,MATCH($C179,案件マスタ!$B$4:$B$23,0)),"?"))</f>
        <v/>
      </c>
      <c r="C179" s="8"/>
      <c r="D179" s="9"/>
      <c r="E179" s="10"/>
      <c r="F179" s="11"/>
      <c r="G179" s="11"/>
      <c r="H179" s="10"/>
      <c r="I179" s="12"/>
      <c r="J179" s="13" t="str">
        <f aca="true">IF(D179="","",IF(H179="完了","✓ DONE",IF(G179="","⚠ NO DUE",IF(G179&lt;TODAY(),"🔴 OVERDUE",IF(G179=TODAY(),"🟡 TODAY","")))))</f>
        <v/>
      </c>
      <c r="K179" s="14"/>
      <c r="L179" s="15" t="str">
        <f aca="false">IF(A179="","",SUMIFS(工数ログ!$E$4:$E$1003,工数ログ!$D$4:$D$1003,$A179))</f>
        <v/>
      </c>
      <c r="M179" s="9"/>
      <c r="N179" s="9"/>
      <c r="O179" s="11"/>
      <c r="P179" s="11"/>
      <c r="Q179" s="2"/>
      <c r="R179" s="2"/>
    </row>
    <row r="180" customFormat="false" ht="15" hidden="false" customHeight="false" outlineLevel="0" collapsed="false">
      <c r="A180" s="6" t="str">
        <f aca="false">IF(D180="","",ROW()-3)</f>
        <v/>
      </c>
      <c r="B180" s="7" t="str">
        <f aca="false">IF($C180="","",IFERROR(INDEX(案件マスタ!$A$4:$A$23,MATCH($C180,案件マスタ!$B$4:$B$23,0)),"?"))</f>
        <v/>
      </c>
      <c r="C180" s="8"/>
      <c r="D180" s="9"/>
      <c r="E180" s="10"/>
      <c r="F180" s="11"/>
      <c r="G180" s="11"/>
      <c r="H180" s="10"/>
      <c r="I180" s="12"/>
      <c r="J180" s="13" t="str">
        <f aca="true">IF(D180="","",IF(H180="完了","✓ DONE",IF(G180="","⚠ NO DUE",IF(G180&lt;TODAY(),"🔴 OVERDUE",IF(G180=TODAY(),"🟡 TODAY","")))))</f>
        <v/>
      </c>
      <c r="K180" s="14"/>
      <c r="L180" s="15" t="str">
        <f aca="false">IF(A180="","",SUMIFS(工数ログ!$E$4:$E$1003,工数ログ!$D$4:$D$1003,$A180))</f>
        <v/>
      </c>
      <c r="M180" s="9"/>
      <c r="N180" s="9"/>
      <c r="O180" s="11"/>
      <c r="P180" s="11"/>
      <c r="Q180" s="2"/>
      <c r="R180" s="2"/>
    </row>
    <row r="181" customFormat="false" ht="15" hidden="false" customHeight="false" outlineLevel="0" collapsed="false">
      <c r="A181" s="6" t="str">
        <f aca="false">IF(D181="","",ROW()-3)</f>
        <v/>
      </c>
      <c r="B181" s="7" t="str">
        <f aca="false">IF($C181="","",IFERROR(INDEX(案件マスタ!$A$4:$A$23,MATCH($C181,案件マスタ!$B$4:$B$23,0)),"?"))</f>
        <v/>
      </c>
      <c r="C181" s="8"/>
      <c r="D181" s="9"/>
      <c r="E181" s="10"/>
      <c r="F181" s="11"/>
      <c r="G181" s="11"/>
      <c r="H181" s="10"/>
      <c r="I181" s="12"/>
      <c r="J181" s="13" t="str">
        <f aca="true">IF(D181="","",IF(H181="完了","✓ DONE",IF(G181="","⚠ NO DUE",IF(G181&lt;TODAY(),"🔴 OVERDUE",IF(G181=TODAY(),"🟡 TODAY","")))))</f>
        <v/>
      </c>
      <c r="K181" s="14"/>
      <c r="L181" s="15" t="str">
        <f aca="false">IF(A181="","",SUMIFS(工数ログ!$E$4:$E$1003,工数ログ!$D$4:$D$1003,$A181))</f>
        <v/>
      </c>
      <c r="M181" s="9"/>
      <c r="N181" s="9"/>
      <c r="O181" s="11"/>
      <c r="P181" s="11"/>
      <c r="Q181" s="2"/>
      <c r="R181" s="2"/>
    </row>
    <row r="182" customFormat="false" ht="15" hidden="false" customHeight="false" outlineLevel="0" collapsed="false">
      <c r="A182" s="6" t="str">
        <f aca="false">IF(D182="","",ROW()-3)</f>
        <v/>
      </c>
      <c r="B182" s="7" t="str">
        <f aca="false">IF($C182="","",IFERROR(INDEX(案件マスタ!$A$4:$A$23,MATCH($C182,案件マスタ!$B$4:$B$23,0)),"?"))</f>
        <v/>
      </c>
      <c r="C182" s="8"/>
      <c r="D182" s="9"/>
      <c r="E182" s="10"/>
      <c r="F182" s="11"/>
      <c r="G182" s="11"/>
      <c r="H182" s="10"/>
      <c r="I182" s="12"/>
      <c r="J182" s="13" t="str">
        <f aca="true">IF(D182="","",IF(H182="完了","✓ DONE",IF(G182="","⚠ NO DUE",IF(G182&lt;TODAY(),"🔴 OVERDUE",IF(G182=TODAY(),"🟡 TODAY","")))))</f>
        <v/>
      </c>
      <c r="K182" s="14"/>
      <c r="L182" s="15" t="str">
        <f aca="false">IF(A182="","",SUMIFS(工数ログ!$E$4:$E$1003,工数ログ!$D$4:$D$1003,$A182))</f>
        <v/>
      </c>
      <c r="M182" s="9"/>
      <c r="N182" s="9"/>
      <c r="O182" s="11"/>
      <c r="P182" s="11"/>
      <c r="Q182" s="2"/>
      <c r="R182" s="2"/>
    </row>
    <row r="183" customFormat="false" ht="15" hidden="false" customHeight="false" outlineLevel="0" collapsed="false">
      <c r="A183" s="6" t="str">
        <f aca="false">IF(D183="","",ROW()-3)</f>
        <v/>
      </c>
      <c r="B183" s="7" t="str">
        <f aca="false">IF($C183="","",IFERROR(INDEX(案件マスタ!$A$4:$A$23,MATCH($C183,案件マスタ!$B$4:$B$23,0)),"?"))</f>
        <v/>
      </c>
      <c r="C183" s="8"/>
      <c r="D183" s="9"/>
      <c r="E183" s="10"/>
      <c r="F183" s="11"/>
      <c r="G183" s="11"/>
      <c r="H183" s="10"/>
      <c r="I183" s="12"/>
      <c r="J183" s="13" t="str">
        <f aca="true">IF(D183="","",IF(H183="完了","✓ DONE",IF(G183="","⚠ NO DUE",IF(G183&lt;TODAY(),"🔴 OVERDUE",IF(G183=TODAY(),"🟡 TODAY","")))))</f>
        <v/>
      </c>
      <c r="K183" s="14"/>
      <c r="L183" s="15" t="str">
        <f aca="false">IF(A183="","",SUMIFS(工数ログ!$E$4:$E$1003,工数ログ!$D$4:$D$1003,$A183))</f>
        <v/>
      </c>
      <c r="M183" s="9"/>
      <c r="N183" s="9"/>
      <c r="O183" s="11"/>
      <c r="P183" s="11"/>
      <c r="Q183" s="2"/>
      <c r="R183" s="2"/>
    </row>
    <row r="184" customFormat="false" ht="15" hidden="false" customHeight="false" outlineLevel="0" collapsed="false">
      <c r="A184" s="6" t="str">
        <f aca="false">IF(D184="","",ROW()-3)</f>
        <v/>
      </c>
      <c r="B184" s="7" t="str">
        <f aca="false">IF($C184="","",IFERROR(INDEX(案件マスタ!$A$4:$A$23,MATCH($C184,案件マスタ!$B$4:$B$23,0)),"?"))</f>
        <v/>
      </c>
      <c r="C184" s="8"/>
      <c r="D184" s="9"/>
      <c r="E184" s="10"/>
      <c r="F184" s="11"/>
      <c r="G184" s="11"/>
      <c r="H184" s="10"/>
      <c r="I184" s="12"/>
      <c r="J184" s="13" t="str">
        <f aca="true">IF(D184="","",IF(H184="完了","✓ DONE",IF(G184="","⚠ NO DUE",IF(G184&lt;TODAY(),"🔴 OVERDUE",IF(G184=TODAY(),"🟡 TODAY","")))))</f>
        <v/>
      </c>
      <c r="K184" s="14"/>
      <c r="L184" s="15" t="str">
        <f aca="false">IF(A184="","",SUMIFS(工数ログ!$E$4:$E$1003,工数ログ!$D$4:$D$1003,$A184))</f>
        <v/>
      </c>
      <c r="M184" s="9"/>
      <c r="N184" s="9"/>
      <c r="O184" s="11"/>
      <c r="P184" s="11"/>
      <c r="Q184" s="2"/>
      <c r="R184" s="2"/>
    </row>
    <row r="185" customFormat="false" ht="15" hidden="false" customHeight="false" outlineLevel="0" collapsed="false">
      <c r="A185" s="6" t="str">
        <f aca="false">IF(D185="","",ROW()-3)</f>
        <v/>
      </c>
      <c r="B185" s="7" t="str">
        <f aca="false">IF($C185="","",IFERROR(INDEX(案件マスタ!$A$4:$A$23,MATCH($C185,案件マスタ!$B$4:$B$23,0)),"?"))</f>
        <v/>
      </c>
      <c r="C185" s="8"/>
      <c r="D185" s="9"/>
      <c r="E185" s="10"/>
      <c r="F185" s="11"/>
      <c r="G185" s="11"/>
      <c r="H185" s="10"/>
      <c r="I185" s="12"/>
      <c r="J185" s="13" t="str">
        <f aca="true">IF(D185="","",IF(H185="完了","✓ DONE",IF(G185="","⚠ NO DUE",IF(G185&lt;TODAY(),"🔴 OVERDUE",IF(G185=TODAY(),"🟡 TODAY","")))))</f>
        <v/>
      </c>
      <c r="K185" s="14"/>
      <c r="L185" s="15" t="str">
        <f aca="false">IF(A185="","",SUMIFS(工数ログ!$E$4:$E$1003,工数ログ!$D$4:$D$1003,$A185))</f>
        <v/>
      </c>
      <c r="M185" s="9"/>
      <c r="N185" s="9"/>
      <c r="O185" s="11"/>
      <c r="P185" s="11"/>
      <c r="Q185" s="2"/>
      <c r="R185" s="2"/>
    </row>
    <row r="186" customFormat="false" ht="15" hidden="false" customHeight="false" outlineLevel="0" collapsed="false">
      <c r="A186" s="6" t="str">
        <f aca="false">IF(D186="","",ROW()-3)</f>
        <v/>
      </c>
      <c r="B186" s="7" t="str">
        <f aca="false">IF($C186="","",IFERROR(INDEX(案件マスタ!$A$4:$A$23,MATCH($C186,案件マスタ!$B$4:$B$23,0)),"?"))</f>
        <v/>
      </c>
      <c r="C186" s="8"/>
      <c r="D186" s="9"/>
      <c r="E186" s="10"/>
      <c r="F186" s="11"/>
      <c r="G186" s="11"/>
      <c r="H186" s="10"/>
      <c r="I186" s="12"/>
      <c r="J186" s="13" t="str">
        <f aca="true">IF(D186="","",IF(H186="完了","✓ DONE",IF(G186="","⚠ NO DUE",IF(G186&lt;TODAY(),"🔴 OVERDUE",IF(G186=TODAY(),"🟡 TODAY","")))))</f>
        <v/>
      </c>
      <c r="K186" s="14"/>
      <c r="L186" s="15" t="str">
        <f aca="false">IF(A186="","",SUMIFS(工数ログ!$E$4:$E$1003,工数ログ!$D$4:$D$1003,$A186))</f>
        <v/>
      </c>
      <c r="M186" s="9"/>
      <c r="N186" s="9"/>
      <c r="O186" s="11"/>
      <c r="P186" s="11"/>
      <c r="Q186" s="2"/>
      <c r="R186" s="2"/>
    </row>
    <row r="187" customFormat="false" ht="15" hidden="false" customHeight="false" outlineLevel="0" collapsed="false">
      <c r="A187" s="6" t="str">
        <f aca="false">IF(D187="","",ROW()-3)</f>
        <v/>
      </c>
      <c r="B187" s="7" t="str">
        <f aca="false">IF($C187="","",IFERROR(INDEX(案件マスタ!$A$4:$A$23,MATCH($C187,案件マスタ!$B$4:$B$23,0)),"?"))</f>
        <v/>
      </c>
      <c r="C187" s="8"/>
      <c r="D187" s="9"/>
      <c r="E187" s="10"/>
      <c r="F187" s="11"/>
      <c r="G187" s="11"/>
      <c r="H187" s="10"/>
      <c r="I187" s="12"/>
      <c r="J187" s="13" t="str">
        <f aca="true">IF(D187="","",IF(H187="完了","✓ DONE",IF(G187="","⚠ NO DUE",IF(G187&lt;TODAY(),"🔴 OVERDUE",IF(G187=TODAY(),"🟡 TODAY","")))))</f>
        <v/>
      </c>
      <c r="K187" s="14"/>
      <c r="L187" s="15" t="str">
        <f aca="false">IF(A187="","",SUMIFS(工数ログ!$E$4:$E$1003,工数ログ!$D$4:$D$1003,$A187))</f>
        <v/>
      </c>
      <c r="M187" s="9"/>
      <c r="N187" s="9"/>
      <c r="O187" s="11"/>
      <c r="P187" s="11"/>
      <c r="Q187" s="2"/>
      <c r="R187" s="2"/>
    </row>
    <row r="188" customFormat="false" ht="15" hidden="false" customHeight="false" outlineLevel="0" collapsed="false">
      <c r="A188" s="6" t="str">
        <f aca="false">IF(D188="","",ROW()-3)</f>
        <v/>
      </c>
      <c r="B188" s="7" t="str">
        <f aca="false">IF($C188="","",IFERROR(INDEX(案件マスタ!$A$4:$A$23,MATCH($C188,案件マスタ!$B$4:$B$23,0)),"?"))</f>
        <v/>
      </c>
      <c r="C188" s="8"/>
      <c r="D188" s="9"/>
      <c r="E188" s="10"/>
      <c r="F188" s="11"/>
      <c r="G188" s="11"/>
      <c r="H188" s="10"/>
      <c r="I188" s="12"/>
      <c r="J188" s="13" t="str">
        <f aca="true">IF(D188="","",IF(H188="完了","✓ DONE",IF(G188="","⚠ NO DUE",IF(G188&lt;TODAY(),"🔴 OVERDUE",IF(G188=TODAY(),"🟡 TODAY","")))))</f>
        <v/>
      </c>
      <c r="K188" s="14"/>
      <c r="L188" s="15" t="str">
        <f aca="false">IF(A188="","",SUMIFS(工数ログ!$E$4:$E$1003,工数ログ!$D$4:$D$1003,$A188))</f>
        <v/>
      </c>
      <c r="M188" s="9"/>
      <c r="N188" s="9"/>
      <c r="O188" s="11"/>
      <c r="P188" s="11"/>
      <c r="Q188" s="2"/>
      <c r="R188" s="2"/>
    </row>
    <row r="189" customFormat="false" ht="15" hidden="false" customHeight="false" outlineLevel="0" collapsed="false">
      <c r="A189" s="6" t="str">
        <f aca="false">IF(D189="","",ROW()-3)</f>
        <v/>
      </c>
      <c r="B189" s="7" t="str">
        <f aca="false">IF($C189="","",IFERROR(INDEX(案件マスタ!$A$4:$A$23,MATCH($C189,案件マスタ!$B$4:$B$23,0)),"?"))</f>
        <v/>
      </c>
      <c r="C189" s="8"/>
      <c r="D189" s="9"/>
      <c r="E189" s="10"/>
      <c r="F189" s="11"/>
      <c r="G189" s="11"/>
      <c r="H189" s="10"/>
      <c r="I189" s="12"/>
      <c r="J189" s="13" t="str">
        <f aca="true">IF(D189="","",IF(H189="完了","✓ DONE",IF(G189="","⚠ NO DUE",IF(G189&lt;TODAY(),"🔴 OVERDUE",IF(G189=TODAY(),"🟡 TODAY","")))))</f>
        <v/>
      </c>
      <c r="K189" s="14"/>
      <c r="L189" s="15" t="str">
        <f aca="false">IF(A189="","",SUMIFS(工数ログ!$E$4:$E$1003,工数ログ!$D$4:$D$1003,$A189))</f>
        <v/>
      </c>
      <c r="M189" s="9"/>
      <c r="N189" s="9"/>
      <c r="O189" s="11"/>
      <c r="P189" s="11"/>
      <c r="Q189" s="2"/>
      <c r="R189" s="2"/>
    </row>
    <row r="190" customFormat="false" ht="15" hidden="false" customHeight="false" outlineLevel="0" collapsed="false">
      <c r="A190" s="6" t="str">
        <f aca="false">IF(D190="","",ROW()-3)</f>
        <v/>
      </c>
      <c r="B190" s="7" t="str">
        <f aca="false">IF($C190="","",IFERROR(INDEX(案件マスタ!$A$4:$A$23,MATCH($C190,案件マスタ!$B$4:$B$23,0)),"?"))</f>
        <v/>
      </c>
      <c r="C190" s="8"/>
      <c r="D190" s="9"/>
      <c r="E190" s="10"/>
      <c r="F190" s="11"/>
      <c r="G190" s="11"/>
      <c r="H190" s="10"/>
      <c r="I190" s="12"/>
      <c r="J190" s="13" t="str">
        <f aca="true">IF(D190="","",IF(H190="完了","✓ DONE",IF(G190="","⚠ NO DUE",IF(G190&lt;TODAY(),"🔴 OVERDUE",IF(G190=TODAY(),"🟡 TODAY","")))))</f>
        <v/>
      </c>
      <c r="K190" s="14"/>
      <c r="L190" s="15" t="str">
        <f aca="false">IF(A190="","",SUMIFS(工数ログ!$E$4:$E$1003,工数ログ!$D$4:$D$1003,$A190))</f>
        <v/>
      </c>
      <c r="M190" s="9"/>
      <c r="N190" s="9"/>
      <c r="O190" s="11"/>
      <c r="P190" s="11"/>
      <c r="Q190" s="2"/>
      <c r="R190" s="2"/>
    </row>
    <row r="191" customFormat="false" ht="15" hidden="false" customHeight="false" outlineLevel="0" collapsed="false">
      <c r="A191" s="6" t="str">
        <f aca="false">IF(D191="","",ROW()-3)</f>
        <v/>
      </c>
      <c r="B191" s="7" t="str">
        <f aca="false">IF($C191="","",IFERROR(INDEX(案件マスタ!$A$4:$A$23,MATCH($C191,案件マスタ!$B$4:$B$23,0)),"?"))</f>
        <v/>
      </c>
      <c r="C191" s="8"/>
      <c r="D191" s="9"/>
      <c r="E191" s="10"/>
      <c r="F191" s="11"/>
      <c r="G191" s="11"/>
      <c r="H191" s="10"/>
      <c r="I191" s="12"/>
      <c r="J191" s="13" t="str">
        <f aca="true">IF(D191="","",IF(H191="完了","✓ DONE",IF(G191="","⚠ NO DUE",IF(G191&lt;TODAY(),"🔴 OVERDUE",IF(G191=TODAY(),"🟡 TODAY","")))))</f>
        <v/>
      </c>
      <c r="K191" s="14"/>
      <c r="L191" s="15" t="str">
        <f aca="false">IF(A191="","",SUMIFS(工数ログ!$E$4:$E$1003,工数ログ!$D$4:$D$1003,$A191))</f>
        <v/>
      </c>
      <c r="M191" s="9"/>
      <c r="N191" s="9"/>
      <c r="O191" s="11"/>
      <c r="P191" s="11"/>
      <c r="Q191" s="2"/>
      <c r="R191" s="2"/>
    </row>
    <row r="192" customFormat="false" ht="15" hidden="false" customHeight="false" outlineLevel="0" collapsed="false">
      <c r="A192" s="6" t="str">
        <f aca="false">IF(D192="","",ROW()-3)</f>
        <v/>
      </c>
      <c r="B192" s="7" t="str">
        <f aca="false">IF($C192="","",IFERROR(INDEX(案件マスタ!$A$4:$A$23,MATCH($C192,案件マスタ!$B$4:$B$23,0)),"?"))</f>
        <v/>
      </c>
      <c r="C192" s="8"/>
      <c r="D192" s="9"/>
      <c r="E192" s="10"/>
      <c r="F192" s="11"/>
      <c r="G192" s="11"/>
      <c r="H192" s="10"/>
      <c r="I192" s="12"/>
      <c r="J192" s="13" t="str">
        <f aca="true">IF(D192="","",IF(H192="完了","✓ DONE",IF(G192="","⚠ NO DUE",IF(G192&lt;TODAY(),"🔴 OVERDUE",IF(G192=TODAY(),"🟡 TODAY","")))))</f>
        <v/>
      </c>
      <c r="K192" s="14"/>
      <c r="L192" s="15" t="str">
        <f aca="false">IF(A192="","",SUMIFS(工数ログ!$E$4:$E$1003,工数ログ!$D$4:$D$1003,$A192))</f>
        <v/>
      </c>
      <c r="M192" s="9"/>
      <c r="N192" s="9"/>
      <c r="O192" s="11"/>
      <c r="P192" s="11"/>
      <c r="Q192" s="2"/>
      <c r="R192" s="2"/>
    </row>
    <row r="193" customFormat="false" ht="15" hidden="false" customHeight="false" outlineLevel="0" collapsed="false">
      <c r="A193" s="6" t="str">
        <f aca="false">IF(D193="","",ROW()-3)</f>
        <v/>
      </c>
      <c r="B193" s="7" t="str">
        <f aca="false">IF($C193="","",IFERROR(INDEX(案件マスタ!$A$4:$A$23,MATCH($C193,案件マスタ!$B$4:$B$23,0)),"?"))</f>
        <v/>
      </c>
      <c r="C193" s="8"/>
      <c r="D193" s="9"/>
      <c r="E193" s="10"/>
      <c r="F193" s="11"/>
      <c r="G193" s="11"/>
      <c r="H193" s="10"/>
      <c r="I193" s="12"/>
      <c r="J193" s="13" t="str">
        <f aca="true">IF(D193="","",IF(H193="完了","✓ DONE",IF(G193="","⚠ NO DUE",IF(G193&lt;TODAY(),"🔴 OVERDUE",IF(G193=TODAY(),"🟡 TODAY","")))))</f>
        <v/>
      </c>
      <c r="K193" s="14"/>
      <c r="L193" s="15" t="str">
        <f aca="false">IF(A193="","",SUMIFS(工数ログ!$E$4:$E$1003,工数ログ!$D$4:$D$1003,$A193))</f>
        <v/>
      </c>
      <c r="M193" s="9"/>
      <c r="N193" s="9"/>
      <c r="O193" s="11"/>
      <c r="P193" s="11"/>
      <c r="Q193" s="2"/>
      <c r="R193" s="2"/>
    </row>
    <row r="194" customFormat="false" ht="15" hidden="false" customHeight="false" outlineLevel="0" collapsed="false">
      <c r="A194" s="6" t="str">
        <f aca="false">IF(D194="","",ROW()-3)</f>
        <v/>
      </c>
      <c r="B194" s="7" t="str">
        <f aca="false">IF($C194="","",IFERROR(INDEX(案件マスタ!$A$4:$A$23,MATCH($C194,案件マスタ!$B$4:$B$23,0)),"?"))</f>
        <v/>
      </c>
      <c r="C194" s="8"/>
      <c r="D194" s="9"/>
      <c r="E194" s="10"/>
      <c r="F194" s="11"/>
      <c r="G194" s="11"/>
      <c r="H194" s="10"/>
      <c r="I194" s="12"/>
      <c r="J194" s="13" t="str">
        <f aca="true">IF(D194="","",IF(H194="完了","✓ DONE",IF(G194="","⚠ NO DUE",IF(G194&lt;TODAY(),"🔴 OVERDUE",IF(G194=TODAY(),"🟡 TODAY","")))))</f>
        <v/>
      </c>
      <c r="K194" s="14"/>
      <c r="L194" s="15" t="str">
        <f aca="false">IF(A194="","",SUMIFS(工数ログ!$E$4:$E$1003,工数ログ!$D$4:$D$1003,$A194))</f>
        <v/>
      </c>
      <c r="M194" s="9"/>
      <c r="N194" s="9"/>
      <c r="O194" s="11"/>
      <c r="P194" s="11"/>
      <c r="Q194" s="2"/>
      <c r="R194" s="2"/>
    </row>
    <row r="195" customFormat="false" ht="15" hidden="false" customHeight="false" outlineLevel="0" collapsed="false">
      <c r="A195" s="6" t="str">
        <f aca="false">IF(D195="","",ROW()-3)</f>
        <v/>
      </c>
      <c r="B195" s="7" t="str">
        <f aca="false">IF($C195="","",IFERROR(INDEX(案件マスタ!$A$4:$A$23,MATCH($C195,案件マスタ!$B$4:$B$23,0)),"?"))</f>
        <v/>
      </c>
      <c r="C195" s="8"/>
      <c r="D195" s="9"/>
      <c r="E195" s="10"/>
      <c r="F195" s="11"/>
      <c r="G195" s="11"/>
      <c r="H195" s="10"/>
      <c r="I195" s="12"/>
      <c r="J195" s="13" t="str">
        <f aca="true">IF(D195="","",IF(H195="完了","✓ DONE",IF(G195="","⚠ NO DUE",IF(G195&lt;TODAY(),"🔴 OVERDUE",IF(G195=TODAY(),"🟡 TODAY","")))))</f>
        <v/>
      </c>
      <c r="K195" s="14"/>
      <c r="L195" s="15" t="str">
        <f aca="false">IF(A195="","",SUMIFS(工数ログ!$E$4:$E$1003,工数ログ!$D$4:$D$1003,$A195))</f>
        <v/>
      </c>
      <c r="M195" s="9"/>
      <c r="N195" s="9"/>
      <c r="O195" s="11"/>
      <c r="P195" s="11"/>
      <c r="Q195" s="2"/>
      <c r="R195" s="2"/>
    </row>
    <row r="196" customFormat="false" ht="15" hidden="false" customHeight="false" outlineLevel="0" collapsed="false">
      <c r="A196" s="6" t="str">
        <f aca="false">IF(D196="","",ROW()-3)</f>
        <v/>
      </c>
      <c r="B196" s="7" t="str">
        <f aca="false">IF($C196="","",IFERROR(INDEX(案件マスタ!$A$4:$A$23,MATCH($C196,案件マスタ!$B$4:$B$23,0)),"?"))</f>
        <v/>
      </c>
      <c r="C196" s="8"/>
      <c r="D196" s="9"/>
      <c r="E196" s="10"/>
      <c r="F196" s="11"/>
      <c r="G196" s="11"/>
      <c r="H196" s="10"/>
      <c r="I196" s="12"/>
      <c r="J196" s="13" t="str">
        <f aca="true">IF(D196="","",IF(H196="完了","✓ DONE",IF(G196="","⚠ NO DUE",IF(G196&lt;TODAY(),"🔴 OVERDUE",IF(G196=TODAY(),"🟡 TODAY","")))))</f>
        <v/>
      </c>
      <c r="K196" s="14"/>
      <c r="L196" s="15" t="str">
        <f aca="false">IF(A196="","",SUMIFS(工数ログ!$E$4:$E$1003,工数ログ!$D$4:$D$1003,$A196))</f>
        <v/>
      </c>
      <c r="M196" s="9"/>
      <c r="N196" s="9"/>
      <c r="O196" s="11"/>
      <c r="P196" s="11"/>
      <c r="Q196" s="2"/>
      <c r="R196" s="2"/>
    </row>
    <row r="197" customFormat="false" ht="15" hidden="false" customHeight="false" outlineLevel="0" collapsed="false">
      <c r="A197" s="6" t="str">
        <f aca="false">IF(D197="","",ROW()-3)</f>
        <v/>
      </c>
      <c r="B197" s="7" t="str">
        <f aca="false">IF($C197="","",IFERROR(INDEX(案件マスタ!$A$4:$A$23,MATCH($C197,案件マスタ!$B$4:$B$23,0)),"?"))</f>
        <v/>
      </c>
      <c r="C197" s="8"/>
      <c r="D197" s="9"/>
      <c r="E197" s="10"/>
      <c r="F197" s="11"/>
      <c r="G197" s="11"/>
      <c r="H197" s="10"/>
      <c r="I197" s="12"/>
      <c r="J197" s="13" t="str">
        <f aca="true">IF(D197="","",IF(H197="完了","✓ DONE",IF(G197="","⚠ NO DUE",IF(G197&lt;TODAY(),"🔴 OVERDUE",IF(G197=TODAY(),"🟡 TODAY","")))))</f>
        <v/>
      </c>
      <c r="K197" s="14"/>
      <c r="L197" s="15" t="str">
        <f aca="false">IF(A197="","",SUMIFS(工数ログ!$E$4:$E$1003,工数ログ!$D$4:$D$1003,$A197))</f>
        <v/>
      </c>
      <c r="M197" s="9"/>
      <c r="N197" s="9"/>
      <c r="O197" s="11"/>
      <c r="P197" s="11"/>
      <c r="Q197" s="2"/>
      <c r="R197" s="2"/>
    </row>
    <row r="198" customFormat="false" ht="15" hidden="false" customHeight="false" outlineLevel="0" collapsed="false">
      <c r="A198" s="6" t="str">
        <f aca="false">IF(D198="","",ROW()-3)</f>
        <v/>
      </c>
      <c r="B198" s="7" t="str">
        <f aca="false">IF($C198="","",IFERROR(INDEX(案件マスタ!$A$4:$A$23,MATCH($C198,案件マスタ!$B$4:$B$23,0)),"?"))</f>
        <v/>
      </c>
      <c r="C198" s="8"/>
      <c r="D198" s="9"/>
      <c r="E198" s="10"/>
      <c r="F198" s="11"/>
      <c r="G198" s="11"/>
      <c r="H198" s="10"/>
      <c r="I198" s="12"/>
      <c r="J198" s="13" t="str">
        <f aca="true">IF(D198="","",IF(H198="完了","✓ DONE",IF(G198="","⚠ NO DUE",IF(G198&lt;TODAY(),"🔴 OVERDUE",IF(G198=TODAY(),"🟡 TODAY","")))))</f>
        <v/>
      </c>
      <c r="K198" s="14"/>
      <c r="L198" s="15" t="str">
        <f aca="false">IF(A198="","",SUMIFS(工数ログ!$E$4:$E$1003,工数ログ!$D$4:$D$1003,$A198))</f>
        <v/>
      </c>
      <c r="M198" s="9"/>
      <c r="N198" s="9"/>
      <c r="O198" s="11"/>
      <c r="P198" s="11"/>
      <c r="Q198" s="2"/>
      <c r="R198" s="2"/>
    </row>
    <row r="199" customFormat="false" ht="15" hidden="false" customHeight="false" outlineLevel="0" collapsed="false">
      <c r="A199" s="6" t="str">
        <f aca="false">IF(D199="","",ROW()-3)</f>
        <v/>
      </c>
      <c r="B199" s="7" t="str">
        <f aca="false">IF($C199="","",IFERROR(INDEX(案件マスタ!$A$4:$A$23,MATCH($C199,案件マスタ!$B$4:$B$23,0)),"?"))</f>
        <v/>
      </c>
      <c r="C199" s="8"/>
      <c r="D199" s="9"/>
      <c r="E199" s="10"/>
      <c r="F199" s="11"/>
      <c r="G199" s="11"/>
      <c r="H199" s="10"/>
      <c r="I199" s="12"/>
      <c r="J199" s="13" t="str">
        <f aca="true">IF(D199="","",IF(H199="完了","✓ DONE",IF(G199="","⚠ NO DUE",IF(G199&lt;TODAY(),"🔴 OVERDUE",IF(G199=TODAY(),"🟡 TODAY","")))))</f>
        <v/>
      </c>
      <c r="K199" s="14"/>
      <c r="L199" s="15" t="str">
        <f aca="false">IF(A199="","",SUMIFS(工数ログ!$E$4:$E$1003,工数ログ!$D$4:$D$1003,$A199))</f>
        <v/>
      </c>
      <c r="M199" s="9"/>
      <c r="N199" s="9"/>
      <c r="O199" s="11"/>
      <c r="P199" s="11"/>
      <c r="Q199" s="2"/>
      <c r="R199" s="2"/>
    </row>
    <row r="200" customFormat="false" ht="15" hidden="false" customHeight="false" outlineLevel="0" collapsed="false">
      <c r="A200" s="6" t="str">
        <f aca="false">IF(D200="","",ROW()-3)</f>
        <v/>
      </c>
      <c r="B200" s="7" t="str">
        <f aca="false">IF($C200="","",IFERROR(INDEX(案件マスタ!$A$4:$A$23,MATCH($C200,案件マスタ!$B$4:$B$23,0)),"?"))</f>
        <v/>
      </c>
      <c r="C200" s="8"/>
      <c r="D200" s="9"/>
      <c r="E200" s="10"/>
      <c r="F200" s="11"/>
      <c r="G200" s="11"/>
      <c r="H200" s="10"/>
      <c r="I200" s="12"/>
      <c r="J200" s="13" t="str">
        <f aca="true">IF(D200="","",IF(H200="完了","✓ DONE",IF(G200="","⚠ NO DUE",IF(G200&lt;TODAY(),"🔴 OVERDUE",IF(G200=TODAY(),"🟡 TODAY","")))))</f>
        <v/>
      </c>
      <c r="K200" s="14"/>
      <c r="L200" s="15" t="str">
        <f aca="false">IF(A200="","",SUMIFS(工数ログ!$E$4:$E$1003,工数ログ!$D$4:$D$1003,$A200))</f>
        <v/>
      </c>
      <c r="M200" s="9"/>
      <c r="N200" s="9"/>
      <c r="O200" s="11"/>
      <c r="P200" s="11"/>
      <c r="Q200" s="2"/>
      <c r="R200" s="2"/>
    </row>
    <row r="201" customFormat="false" ht="15" hidden="false" customHeight="false" outlineLevel="0" collapsed="false">
      <c r="A201" s="6" t="str">
        <f aca="false">IF(D201="","",ROW()-3)</f>
        <v/>
      </c>
      <c r="B201" s="7" t="str">
        <f aca="false">IF($C201="","",IFERROR(INDEX(案件マスタ!$A$4:$A$23,MATCH($C201,案件マスタ!$B$4:$B$23,0)),"?"))</f>
        <v/>
      </c>
      <c r="C201" s="8"/>
      <c r="D201" s="9"/>
      <c r="E201" s="10"/>
      <c r="F201" s="11"/>
      <c r="G201" s="11"/>
      <c r="H201" s="10"/>
      <c r="I201" s="12"/>
      <c r="J201" s="13" t="str">
        <f aca="true">IF(D201="","",IF(H201="完了","✓ DONE",IF(G201="","⚠ NO DUE",IF(G201&lt;TODAY(),"🔴 OVERDUE",IF(G201=TODAY(),"🟡 TODAY","")))))</f>
        <v/>
      </c>
      <c r="K201" s="14"/>
      <c r="L201" s="15" t="str">
        <f aca="false">IF(A201="","",SUMIFS(工数ログ!$E$4:$E$1003,工数ログ!$D$4:$D$1003,$A201))</f>
        <v/>
      </c>
      <c r="M201" s="9"/>
      <c r="N201" s="9"/>
      <c r="O201" s="11"/>
      <c r="P201" s="11"/>
      <c r="Q201" s="2"/>
      <c r="R201" s="2"/>
    </row>
    <row r="202" customFormat="false" ht="15" hidden="false" customHeight="false" outlineLevel="0" collapsed="false">
      <c r="A202" s="6" t="str">
        <f aca="false">IF(D202="","",ROW()-3)</f>
        <v/>
      </c>
      <c r="B202" s="7" t="str">
        <f aca="false">IF($C202="","",IFERROR(INDEX(案件マスタ!$A$4:$A$23,MATCH($C202,案件マスタ!$B$4:$B$23,0)),"?"))</f>
        <v/>
      </c>
      <c r="C202" s="8"/>
      <c r="D202" s="9"/>
      <c r="E202" s="10"/>
      <c r="F202" s="11"/>
      <c r="G202" s="11"/>
      <c r="H202" s="10"/>
      <c r="I202" s="12"/>
      <c r="J202" s="13" t="str">
        <f aca="true">IF(D202="","",IF(H202="完了","✓ DONE",IF(G202="","⚠ NO DUE",IF(G202&lt;TODAY(),"🔴 OVERDUE",IF(G202=TODAY(),"🟡 TODAY","")))))</f>
        <v/>
      </c>
      <c r="K202" s="14"/>
      <c r="L202" s="15" t="str">
        <f aca="false">IF(A202="","",SUMIFS(工数ログ!$E$4:$E$1003,工数ログ!$D$4:$D$1003,$A202))</f>
        <v/>
      </c>
      <c r="M202" s="9"/>
      <c r="N202" s="9"/>
      <c r="O202" s="11"/>
      <c r="P202" s="11"/>
      <c r="Q202" s="2"/>
      <c r="R202" s="2"/>
    </row>
    <row r="203" customFormat="false" ht="15" hidden="false" customHeight="false" outlineLevel="0" collapsed="false">
      <c r="A203" s="6" t="str">
        <f aca="false">IF(D203="","",ROW()-3)</f>
        <v/>
      </c>
      <c r="B203" s="7" t="str">
        <f aca="false">IF($C203="","",IFERROR(INDEX(案件マスタ!$A$4:$A$23,MATCH($C203,案件マスタ!$B$4:$B$23,0)),"?"))</f>
        <v/>
      </c>
      <c r="C203" s="8"/>
      <c r="D203" s="9"/>
      <c r="E203" s="10"/>
      <c r="F203" s="11"/>
      <c r="G203" s="11"/>
      <c r="H203" s="10"/>
      <c r="I203" s="12"/>
      <c r="J203" s="13" t="str">
        <f aca="true">IF(D203="","",IF(H203="完了","✓ DONE",IF(G203="","⚠ NO DUE",IF(G203&lt;TODAY(),"🔴 OVERDUE",IF(G203=TODAY(),"🟡 TODAY","")))))</f>
        <v/>
      </c>
      <c r="K203" s="14"/>
      <c r="L203" s="15" t="str">
        <f aca="false">IF(A203="","",SUMIFS(工数ログ!$E$4:$E$1003,工数ログ!$D$4:$D$1003,$A203))</f>
        <v/>
      </c>
      <c r="M203" s="9"/>
      <c r="N203" s="9"/>
      <c r="O203" s="11"/>
      <c r="P203" s="11"/>
      <c r="Q203" s="2"/>
      <c r="R203" s="2"/>
    </row>
    <row r="204" customFormat="false" ht="15" hidden="false" customHeight="false" outlineLevel="0" collapsed="false">
      <c r="A204" s="6" t="str">
        <f aca="false">IF(D204="","",ROW()-3)</f>
        <v/>
      </c>
      <c r="B204" s="7" t="str">
        <f aca="false">IF($C204="","",IFERROR(INDEX(案件マスタ!$A$4:$A$23,MATCH($C204,案件マスタ!$B$4:$B$23,0)),"?"))</f>
        <v/>
      </c>
      <c r="C204" s="8"/>
      <c r="D204" s="9"/>
      <c r="E204" s="10"/>
      <c r="F204" s="11"/>
      <c r="G204" s="11"/>
      <c r="H204" s="10"/>
      <c r="I204" s="12"/>
      <c r="J204" s="13" t="str">
        <f aca="true">IF(D204="","",IF(H204="完了","✓ DONE",IF(G204="","⚠ NO DUE",IF(G204&lt;TODAY(),"🔴 OVERDUE",IF(G204=TODAY(),"🟡 TODAY","")))))</f>
        <v/>
      </c>
      <c r="K204" s="14"/>
      <c r="L204" s="15" t="str">
        <f aca="false">IF(A204="","",SUMIFS(工数ログ!$E$4:$E$1003,工数ログ!$D$4:$D$1003,$A204))</f>
        <v/>
      </c>
      <c r="M204" s="9"/>
      <c r="N204" s="9"/>
      <c r="O204" s="11"/>
      <c r="P204" s="11"/>
      <c r="Q204" s="2"/>
      <c r="R204" s="2"/>
    </row>
    <row r="205" customFormat="false" ht="15" hidden="false" customHeight="false" outlineLevel="0" collapsed="false">
      <c r="A205" s="6" t="str">
        <f aca="false">IF(D205="","",ROW()-3)</f>
        <v/>
      </c>
      <c r="B205" s="7" t="str">
        <f aca="false">IF($C205="","",IFERROR(INDEX(案件マスタ!$A$4:$A$23,MATCH($C205,案件マスタ!$B$4:$B$23,0)),"?"))</f>
        <v/>
      </c>
      <c r="C205" s="8"/>
      <c r="D205" s="9"/>
      <c r="E205" s="10"/>
      <c r="F205" s="11"/>
      <c r="G205" s="11"/>
      <c r="H205" s="10"/>
      <c r="I205" s="12"/>
      <c r="J205" s="13" t="str">
        <f aca="true">IF(D205="","",IF(H205="完了","✓ DONE",IF(G205="","⚠ NO DUE",IF(G205&lt;TODAY(),"🔴 OVERDUE",IF(G205=TODAY(),"🟡 TODAY","")))))</f>
        <v/>
      </c>
      <c r="K205" s="14"/>
      <c r="L205" s="15" t="str">
        <f aca="false">IF(A205="","",SUMIFS(工数ログ!$E$4:$E$1003,工数ログ!$D$4:$D$1003,$A205))</f>
        <v/>
      </c>
      <c r="M205" s="9"/>
      <c r="N205" s="9"/>
      <c r="O205" s="11"/>
      <c r="P205" s="11"/>
      <c r="Q205" s="2"/>
      <c r="R205" s="2"/>
    </row>
    <row r="206" customFormat="false" ht="15" hidden="false" customHeight="false" outlineLevel="0" collapsed="false">
      <c r="A206" s="6" t="str">
        <f aca="false">IF(D206="","",ROW()-3)</f>
        <v/>
      </c>
      <c r="B206" s="7" t="str">
        <f aca="false">IF($C206="","",IFERROR(INDEX(案件マスタ!$A$4:$A$23,MATCH($C206,案件マスタ!$B$4:$B$23,0)),"?"))</f>
        <v/>
      </c>
      <c r="C206" s="8"/>
      <c r="D206" s="9"/>
      <c r="E206" s="10"/>
      <c r="F206" s="11"/>
      <c r="G206" s="11"/>
      <c r="H206" s="10"/>
      <c r="I206" s="12"/>
      <c r="J206" s="13" t="str">
        <f aca="true">IF(D206="","",IF(H206="完了","✓ DONE",IF(G206="","⚠ NO DUE",IF(G206&lt;TODAY(),"🔴 OVERDUE",IF(G206=TODAY(),"🟡 TODAY","")))))</f>
        <v/>
      </c>
      <c r="K206" s="14"/>
      <c r="L206" s="15" t="str">
        <f aca="false">IF(A206="","",SUMIFS(工数ログ!$E$4:$E$1003,工数ログ!$D$4:$D$1003,$A206))</f>
        <v/>
      </c>
      <c r="M206" s="9"/>
      <c r="N206" s="9"/>
      <c r="O206" s="11"/>
      <c r="P206" s="11"/>
      <c r="Q206" s="2"/>
      <c r="R206" s="2"/>
    </row>
    <row r="207" customFormat="false" ht="15" hidden="false" customHeight="false" outlineLevel="0" collapsed="false">
      <c r="A207" s="6" t="str">
        <f aca="false">IF(D207="","",ROW()-3)</f>
        <v/>
      </c>
      <c r="B207" s="7" t="str">
        <f aca="false">IF($C207="","",IFERROR(INDEX(案件マスタ!$A$4:$A$23,MATCH($C207,案件マスタ!$B$4:$B$23,0)),"?"))</f>
        <v/>
      </c>
      <c r="C207" s="8"/>
      <c r="D207" s="9"/>
      <c r="E207" s="10"/>
      <c r="F207" s="11"/>
      <c r="G207" s="11"/>
      <c r="H207" s="10"/>
      <c r="I207" s="12"/>
      <c r="J207" s="13" t="str">
        <f aca="true">IF(D207="","",IF(H207="完了","✓ DONE",IF(G207="","⚠ NO DUE",IF(G207&lt;TODAY(),"🔴 OVERDUE",IF(G207=TODAY(),"🟡 TODAY","")))))</f>
        <v/>
      </c>
      <c r="K207" s="14"/>
      <c r="L207" s="15" t="str">
        <f aca="false">IF(A207="","",SUMIFS(工数ログ!$E$4:$E$1003,工数ログ!$D$4:$D$1003,$A207))</f>
        <v/>
      </c>
      <c r="M207" s="9"/>
      <c r="N207" s="9"/>
      <c r="O207" s="11"/>
      <c r="P207" s="11"/>
      <c r="Q207" s="2"/>
      <c r="R207" s="2"/>
    </row>
    <row r="208" customFormat="false" ht="15" hidden="false" customHeight="false" outlineLevel="0" collapsed="false">
      <c r="A208" s="6" t="str">
        <f aca="false">IF(D208="","",ROW()-3)</f>
        <v/>
      </c>
      <c r="B208" s="7" t="str">
        <f aca="false">IF($C208="","",IFERROR(INDEX(案件マスタ!$A$4:$A$23,MATCH($C208,案件マスタ!$B$4:$B$23,0)),"?"))</f>
        <v/>
      </c>
      <c r="C208" s="8"/>
      <c r="D208" s="9"/>
      <c r="E208" s="10"/>
      <c r="F208" s="11"/>
      <c r="G208" s="11"/>
      <c r="H208" s="10"/>
      <c r="I208" s="12"/>
      <c r="J208" s="13" t="str">
        <f aca="true">IF(D208="","",IF(H208="完了","✓ DONE",IF(G208="","⚠ NO DUE",IF(G208&lt;TODAY(),"🔴 OVERDUE",IF(G208=TODAY(),"🟡 TODAY","")))))</f>
        <v/>
      </c>
      <c r="K208" s="14"/>
      <c r="L208" s="15" t="str">
        <f aca="false">IF(A208="","",SUMIFS(工数ログ!$E$4:$E$1003,工数ログ!$D$4:$D$1003,$A208))</f>
        <v/>
      </c>
      <c r="M208" s="9"/>
      <c r="N208" s="9"/>
      <c r="O208" s="11"/>
      <c r="P208" s="11"/>
      <c r="Q208" s="2"/>
      <c r="R208" s="2"/>
    </row>
    <row r="209" customFormat="false" ht="15" hidden="false" customHeight="false" outlineLevel="0" collapsed="false">
      <c r="A209" s="6" t="str">
        <f aca="false">IF(D209="","",ROW()-3)</f>
        <v/>
      </c>
      <c r="B209" s="7" t="str">
        <f aca="false">IF($C209="","",IFERROR(INDEX(案件マスタ!$A$4:$A$23,MATCH($C209,案件マスタ!$B$4:$B$23,0)),"?"))</f>
        <v/>
      </c>
      <c r="C209" s="8"/>
      <c r="D209" s="9"/>
      <c r="E209" s="10"/>
      <c r="F209" s="11"/>
      <c r="G209" s="11"/>
      <c r="H209" s="10"/>
      <c r="I209" s="12"/>
      <c r="J209" s="13" t="str">
        <f aca="true">IF(D209="","",IF(H209="完了","✓ DONE",IF(G209="","⚠ NO DUE",IF(G209&lt;TODAY(),"🔴 OVERDUE",IF(G209=TODAY(),"🟡 TODAY","")))))</f>
        <v/>
      </c>
      <c r="K209" s="14"/>
      <c r="L209" s="15" t="str">
        <f aca="false">IF(A209="","",SUMIFS(工数ログ!$E$4:$E$1003,工数ログ!$D$4:$D$1003,$A209))</f>
        <v/>
      </c>
      <c r="M209" s="9"/>
      <c r="N209" s="9"/>
      <c r="O209" s="11"/>
      <c r="P209" s="11"/>
      <c r="Q209" s="2"/>
      <c r="R209" s="2"/>
    </row>
    <row r="210" customFormat="false" ht="15" hidden="false" customHeight="false" outlineLevel="0" collapsed="false">
      <c r="A210" s="6" t="str">
        <f aca="false">IF(D210="","",ROW()-3)</f>
        <v/>
      </c>
      <c r="B210" s="7" t="str">
        <f aca="false">IF($C210="","",IFERROR(INDEX(案件マスタ!$A$4:$A$23,MATCH($C210,案件マスタ!$B$4:$B$23,0)),"?"))</f>
        <v/>
      </c>
      <c r="C210" s="8"/>
      <c r="D210" s="9"/>
      <c r="E210" s="10"/>
      <c r="F210" s="11"/>
      <c r="G210" s="11"/>
      <c r="H210" s="10"/>
      <c r="I210" s="12"/>
      <c r="J210" s="13" t="str">
        <f aca="true">IF(D210="","",IF(H210="完了","✓ DONE",IF(G210="","⚠ NO DUE",IF(G210&lt;TODAY(),"🔴 OVERDUE",IF(G210=TODAY(),"🟡 TODAY","")))))</f>
        <v/>
      </c>
      <c r="K210" s="14"/>
      <c r="L210" s="15" t="str">
        <f aca="false">IF(A210="","",SUMIFS(工数ログ!$E$4:$E$1003,工数ログ!$D$4:$D$1003,$A210))</f>
        <v/>
      </c>
      <c r="M210" s="9"/>
      <c r="N210" s="9"/>
      <c r="O210" s="11"/>
      <c r="P210" s="11"/>
      <c r="Q210" s="2"/>
      <c r="R210" s="2"/>
    </row>
    <row r="211" customFormat="false" ht="15" hidden="false" customHeight="false" outlineLevel="0" collapsed="false">
      <c r="A211" s="6" t="str">
        <f aca="false">IF(D211="","",ROW()-3)</f>
        <v/>
      </c>
      <c r="B211" s="7" t="str">
        <f aca="false">IF($C211="","",IFERROR(INDEX(案件マスタ!$A$4:$A$23,MATCH($C211,案件マスタ!$B$4:$B$23,0)),"?"))</f>
        <v/>
      </c>
      <c r="C211" s="8"/>
      <c r="D211" s="9"/>
      <c r="E211" s="10"/>
      <c r="F211" s="11"/>
      <c r="G211" s="11"/>
      <c r="H211" s="10"/>
      <c r="I211" s="12"/>
      <c r="J211" s="13" t="str">
        <f aca="true">IF(D211="","",IF(H211="完了","✓ DONE",IF(G211="","⚠ NO DUE",IF(G211&lt;TODAY(),"🔴 OVERDUE",IF(G211=TODAY(),"🟡 TODAY","")))))</f>
        <v/>
      </c>
      <c r="K211" s="14"/>
      <c r="L211" s="15" t="str">
        <f aca="false">IF(A211="","",SUMIFS(工数ログ!$E$4:$E$1003,工数ログ!$D$4:$D$1003,$A211))</f>
        <v/>
      </c>
      <c r="M211" s="9"/>
      <c r="N211" s="9"/>
      <c r="O211" s="11"/>
      <c r="P211" s="11"/>
      <c r="Q211" s="2"/>
      <c r="R211" s="2"/>
    </row>
    <row r="212" customFormat="false" ht="15" hidden="false" customHeight="false" outlineLevel="0" collapsed="false">
      <c r="A212" s="6" t="str">
        <f aca="false">IF(D212="","",ROW()-3)</f>
        <v/>
      </c>
      <c r="B212" s="7" t="str">
        <f aca="false">IF($C212="","",IFERROR(INDEX(案件マスタ!$A$4:$A$23,MATCH($C212,案件マスタ!$B$4:$B$23,0)),"?"))</f>
        <v/>
      </c>
      <c r="C212" s="8"/>
      <c r="D212" s="9"/>
      <c r="E212" s="10"/>
      <c r="F212" s="11"/>
      <c r="G212" s="11"/>
      <c r="H212" s="10"/>
      <c r="I212" s="12"/>
      <c r="J212" s="13" t="str">
        <f aca="true">IF(D212="","",IF(H212="完了","✓ DONE",IF(G212="","⚠ NO DUE",IF(G212&lt;TODAY(),"🔴 OVERDUE",IF(G212=TODAY(),"🟡 TODAY","")))))</f>
        <v/>
      </c>
      <c r="K212" s="14"/>
      <c r="L212" s="15" t="str">
        <f aca="false">IF(A212="","",SUMIFS(工数ログ!$E$4:$E$1003,工数ログ!$D$4:$D$1003,$A212))</f>
        <v/>
      </c>
      <c r="M212" s="9"/>
      <c r="N212" s="9"/>
      <c r="O212" s="11"/>
      <c r="P212" s="11"/>
      <c r="Q212" s="2"/>
      <c r="R212" s="2"/>
    </row>
    <row r="213" customFormat="false" ht="15" hidden="false" customHeight="false" outlineLevel="0" collapsed="false">
      <c r="A213" s="6" t="str">
        <f aca="false">IF(D213="","",ROW()-3)</f>
        <v/>
      </c>
      <c r="B213" s="7" t="str">
        <f aca="false">IF($C213="","",IFERROR(INDEX(案件マスタ!$A$4:$A$23,MATCH($C213,案件マスタ!$B$4:$B$23,0)),"?"))</f>
        <v/>
      </c>
      <c r="C213" s="8"/>
      <c r="D213" s="9"/>
      <c r="E213" s="10"/>
      <c r="F213" s="11"/>
      <c r="G213" s="11"/>
      <c r="H213" s="10"/>
      <c r="I213" s="12"/>
      <c r="J213" s="13" t="str">
        <f aca="true">IF(D213="","",IF(H213="完了","✓ DONE",IF(G213="","⚠ NO DUE",IF(G213&lt;TODAY(),"🔴 OVERDUE",IF(G213=TODAY(),"🟡 TODAY","")))))</f>
        <v/>
      </c>
      <c r="K213" s="14"/>
      <c r="L213" s="15" t="str">
        <f aca="false">IF(A213="","",SUMIFS(工数ログ!$E$4:$E$1003,工数ログ!$D$4:$D$1003,$A213))</f>
        <v/>
      </c>
      <c r="M213" s="9"/>
      <c r="N213" s="9"/>
      <c r="O213" s="11"/>
      <c r="P213" s="11"/>
      <c r="Q213" s="2"/>
      <c r="R213" s="2"/>
    </row>
    <row r="214" customFormat="false" ht="15" hidden="false" customHeight="false" outlineLevel="0" collapsed="false">
      <c r="A214" s="6" t="str">
        <f aca="false">IF(D214="","",ROW()-3)</f>
        <v/>
      </c>
      <c r="B214" s="7" t="str">
        <f aca="false">IF($C214="","",IFERROR(INDEX(案件マスタ!$A$4:$A$23,MATCH($C214,案件マスタ!$B$4:$B$23,0)),"?"))</f>
        <v/>
      </c>
      <c r="C214" s="8"/>
      <c r="D214" s="9"/>
      <c r="E214" s="10"/>
      <c r="F214" s="11"/>
      <c r="G214" s="11"/>
      <c r="H214" s="10"/>
      <c r="I214" s="12"/>
      <c r="J214" s="13" t="str">
        <f aca="true">IF(D214="","",IF(H214="完了","✓ DONE",IF(G214="","⚠ NO DUE",IF(G214&lt;TODAY(),"🔴 OVERDUE",IF(G214=TODAY(),"🟡 TODAY","")))))</f>
        <v/>
      </c>
      <c r="K214" s="14"/>
      <c r="L214" s="15" t="str">
        <f aca="false">IF(A214="","",SUMIFS(工数ログ!$E$4:$E$1003,工数ログ!$D$4:$D$1003,$A214))</f>
        <v/>
      </c>
      <c r="M214" s="9"/>
      <c r="N214" s="9"/>
      <c r="O214" s="11"/>
      <c r="P214" s="11"/>
      <c r="Q214" s="2"/>
      <c r="R214" s="2"/>
    </row>
    <row r="215" customFormat="false" ht="15" hidden="false" customHeight="false" outlineLevel="0" collapsed="false">
      <c r="A215" s="6" t="str">
        <f aca="false">IF(D215="","",ROW()-3)</f>
        <v/>
      </c>
      <c r="B215" s="7" t="str">
        <f aca="false">IF($C215="","",IFERROR(INDEX(案件マスタ!$A$4:$A$23,MATCH($C215,案件マスタ!$B$4:$B$23,0)),"?"))</f>
        <v/>
      </c>
      <c r="C215" s="8"/>
      <c r="D215" s="9"/>
      <c r="E215" s="10"/>
      <c r="F215" s="11"/>
      <c r="G215" s="11"/>
      <c r="H215" s="10"/>
      <c r="I215" s="12"/>
      <c r="J215" s="13" t="str">
        <f aca="true">IF(D215="","",IF(H215="完了","✓ DONE",IF(G215="","⚠ NO DUE",IF(G215&lt;TODAY(),"🔴 OVERDUE",IF(G215=TODAY(),"🟡 TODAY","")))))</f>
        <v/>
      </c>
      <c r="K215" s="14"/>
      <c r="L215" s="15" t="str">
        <f aca="false">IF(A215="","",SUMIFS(工数ログ!$E$4:$E$1003,工数ログ!$D$4:$D$1003,$A215))</f>
        <v/>
      </c>
      <c r="M215" s="9"/>
      <c r="N215" s="9"/>
      <c r="O215" s="11"/>
      <c r="P215" s="11"/>
      <c r="Q215" s="2"/>
      <c r="R215" s="2"/>
    </row>
    <row r="216" customFormat="false" ht="15" hidden="false" customHeight="false" outlineLevel="0" collapsed="false">
      <c r="A216" s="6" t="str">
        <f aca="false">IF(D216="","",ROW()-3)</f>
        <v/>
      </c>
      <c r="B216" s="7" t="str">
        <f aca="false">IF($C216="","",IFERROR(INDEX(案件マスタ!$A$4:$A$23,MATCH($C216,案件マスタ!$B$4:$B$23,0)),"?"))</f>
        <v/>
      </c>
      <c r="C216" s="8"/>
      <c r="D216" s="9"/>
      <c r="E216" s="10"/>
      <c r="F216" s="11"/>
      <c r="G216" s="11"/>
      <c r="H216" s="10"/>
      <c r="I216" s="12"/>
      <c r="J216" s="13" t="str">
        <f aca="true">IF(D216="","",IF(H216="完了","✓ DONE",IF(G216="","⚠ NO DUE",IF(G216&lt;TODAY(),"🔴 OVERDUE",IF(G216=TODAY(),"🟡 TODAY","")))))</f>
        <v/>
      </c>
      <c r="K216" s="14"/>
      <c r="L216" s="15" t="str">
        <f aca="false">IF(A216="","",SUMIFS(工数ログ!$E$4:$E$1003,工数ログ!$D$4:$D$1003,$A216))</f>
        <v/>
      </c>
      <c r="M216" s="9"/>
      <c r="N216" s="9"/>
      <c r="O216" s="11"/>
      <c r="P216" s="11"/>
      <c r="Q216" s="2"/>
      <c r="R216" s="2"/>
    </row>
    <row r="217" customFormat="false" ht="15" hidden="false" customHeight="false" outlineLevel="0" collapsed="false">
      <c r="A217" s="6" t="str">
        <f aca="false">IF(D217="","",ROW()-3)</f>
        <v/>
      </c>
      <c r="B217" s="7" t="str">
        <f aca="false">IF($C217="","",IFERROR(INDEX(案件マスタ!$A$4:$A$23,MATCH($C217,案件マスタ!$B$4:$B$23,0)),"?"))</f>
        <v/>
      </c>
      <c r="C217" s="8"/>
      <c r="D217" s="9"/>
      <c r="E217" s="10"/>
      <c r="F217" s="11"/>
      <c r="G217" s="11"/>
      <c r="H217" s="10"/>
      <c r="I217" s="12"/>
      <c r="J217" s="13" t="str">
        <f aca="true">IF(D217="","",IF(H217="完了","✓ DONE",IF(G217="","⚠ NO DUE",IF(G217&lt;TODAY(),"🔴 OVERDUE",IF(G217=TODAY(),"🟡 TODAY","")))))</f>
        <v/>
      </c>
      <c r="K217" s="14"/>
      <c r="L217" s="15" t="str">
        <f aca="false">IF(A217="","",SUMIFS(工数ログ!$E$4:$E$1003,工数ログ!$D$4:$D$1003,$A217))</f>
        <v/>
      </c>
      <c r="M217" s="9"/>
      <c r="N217" s="9"/>
      <c r="O217" s="11"/>
      <c r="P217" s="11"/>
      <c r="Q217" s="2"/>
      <c r="R217" s="2"/>
    </row>
    <row r="218" customFormat="false" ht="15" hidden="false" customHeight="false" outlineLevel="0" collapsed="false">
      <c r="A218" s="6" t="str">
        <f aca="false">IF(D218="","",ROW()-3)</f>
        <v/>
      </c>
      <c r="B218" s="7" t="str">
        <f aca="false">IF($C218="","",IFERROR(INDEX(案件マスタ!$A$4:$A$23,MATCH($C218,案件マスタ!$B$4:$B$23,0)),"?"))</f>
        <v/>
      </c>
      <c r="C218" s="8"/>
      <c r="D218" s="9"/>
      <c r="E218" s="10"/>
      <c r="F218" s="11"/>
      <c r="G218" s="11"/>
      <c r="H218" s="10"/>
      <c r="I218" s="12"/>
      <c r="J218" s="13" t="str">
        <f aca="true">IF(D218="","",IF(H218="完了","✓ DONE",IF(G218="","⚠ NO DUE",IF(G218&lt;TODAY(),"🔴 OVERDUE",IF(G218=TODAY(),"🟡 TODAY","")))))</f>
        <v/>
      </c>
      <c r="K218" s="14"/>
      <c r="L218" s="15" t="str">
        <f aca="false">IF(A218="","",SUMIFS(工数ログ!$E$4:$E$1003,工数ログ!$D$4:$D$1003,$A218))</f>
        <v/>
      </c>
      <c r="M218" s="9"/>
      <c r="N218" s="9"/>
      <c r="O218" s="11"/>
      <c r="P218" s="11"/>
      <c r="Q218" s="2"/>
      <c r="R218" s="2"/>
    </row>
    <row r="219" customFormat="false" ht="15" hidden="false" customHeight="false" outlineLevel="0" collapsed="false">
      <c r="A219" s="6" t="str">
        <f aca="false">IF(D219="","",ROW()-3)</f>
        <v/>
      </c>
      <c r="B219" s="7" t="str">
        <f aca="false">IF($C219="","",IFERROR(INDEX(案件マスタ!$A$4:$A$23,MATCH($C219,案件マスタ!$B$4:$B$23,0)),"?"))</f>
        <v/>
      </c>
      <c r="C219" s="8"/>
      <c r="D219" s="9"/>
      <c r="E219" s="10"/>
      <c r="F219" s="11"/>
      <c r="G219" s="11"/>
      <c r="H219" s="10"/>
      <c r="I219" s="12"/>
      <c r="J219" s="13" t="str">
        <f aca="true">IF(D219="","",IF(H219="完了","✓ DONE",IF(G219="","⚠ NO DUE",IF(G219&lt;TODAY(),"🔴 OVERDUE",IF(G219=TODAY(),"🟡 TODAY","")))))</f>
        <v/>
      </c>
      <c r="K219" s="14"/>
      <c r="L219" s="15" t="str">
        <f aca="false">IF(A219="","",SUMIFS(工数ログ!$E$4:$E$1003,工数ログ!$D$4:$D$1003,$A219))</f>
        <v/>
      </c>
      <c r="M219" s="9"/>
      <c r="N219" s="9"/>
      <c r="O219" s="11"/>
      <c r="P219" s="11"/>
      <c r="Q219" s="2"/>
      <c r="R219" s="2"/>
    </row>
    <row r="220" customFormat="false" ht="15" hidden="false" customHeight="false" outlineLevel="0" collapsed="false">
      <c r="A220" s="6" t="str">
        <f aca="false">IF(D220="","",ROW()-3)</f>
        <v/>
      </c>
      <c r="B220" s="7" t="str">
        <f aca="false">IF($C220="","",IFERROR(INDEX(案件マスタ!$A$4:$A$23,MATCH($C220,案件マスタ!$B$4:$B$23,0)),"?"))</f>
        <v/>
      </c>
      <c r="C220" s="8"/>
      <c r="D220" s="9"/>
      <c r="E220" s="10"/>
      <c r="F220" s="11"/>
      <c r="G220" s="11"/>
      <c r="H220" s="10"/>
      <c r="I220" s="12"/>
      <c r="J220" s="13" t="str">
        <f aca="true">IF(D220="","",IF(H220="完了","✓ DONE",IF(G220="","⚠ NO DUE",IF(G220&lt;TODAY(),"🔴 OVERDUE",IF(G220=TODAY(),"🟡 TODAY","")))))</f>
        <v/>
      </c>
      <c r="K220" s="14"/>
      <c r="L220" s="15" t="str">
        <f aca="false">IF(A220="","",SUMIFS(工数ログ!$E$4:$E$1003,工数ログ!$D$4:$D$1003,$A220))</f>
        <v/>
      </c>
      <c r="M220" s="9"/>
      <c r="N220" s="9"/>
      <c r="O220" s="11"/>
      <c r="P220" s="11"/>
      <c r="Q220" s="2"/>
      <c r="R220" s="2"/>
    </row>
    <row r="221" customFormat="false" ht="15" hidden="false" customHeight="false" outlineLevel="0" collapsed="false">
      <c r="A221" s="6" t="str">
        <f aca="false">IF(D221="","",ROW()-3)</f>
        <v/>
      </c>
      <c r="B221" s="7" t="str">
        <f aca="false">IF($C221="","",IFERROR(INDEX(案件マスタ!$A$4:$A$23,MATCH($C221,案件マスタ!$B$4:$B$23,0)),"?"))</f>
        <v/>
      </c>
      <c r="C221" s="8"/>
      <c r="D221" s="9"/>
      <c r="E221" s="10"/>
      <c r="F221" s="11"/>
      <c r="G221" s="11"/>
      <c r="H221" s="10"/>
      <c r="I221" s="12"/>
      <c r="J221" s="13" t="str">
        <f aca="true">IF(D221="","",IF(H221="完了","✓ DONE",IF(G221="","⚠ NO DUE",IF(G221&lt;TODAY(),"🔴 OVERDUE",IF(G221=TODAY(),"🟡 TODAY","")))))</f>
        <v/>
      </c>
      <c r="K221" s="14"/>
      <c r="L221" s="15" t="str">
        <f aca="false">IF(A221="","",SUMIFS(工数ログ!$E$4:$E$1003,工数ログ!$D$4:$D$1003,$A221))</f>
        <v/>
      </c>
      <c r="M221" s="9"/>
      <c r="N221" s="9"/>
      <c r="O221" s="11"/>
      <c r="P221" s="11"/>
      <c r="Q221" s="2"/>
      <c r="R221" s="2"/>
    </row>
    <row r="222" customFormat="false" ht="15" hidden="false" customHeight="false" outlineLevel="0" collapsed="false">
      <c r="A222" s="6" t="str">
        <f aca="false">IF(D222="","",ROW()-3)</f>
        <v/>
      </c>
      <c r="B222" s="7" t="str">
        <f aca="false">IF($C222="","",IFERROR(INDEX(案件マスタ!$A$4:$A$23,MATCH($C222,案件マスタ!$B$4:$B$23,0)),"?"))</f>
        <v/>
      </c>
      <c r="C222" s="8"/>
      <c r="D222" s="9"/>
      <c r="E222" s="10"/>
      <c r="F222" s="11"/>
      <c r="G222" s="11"/>
      <c r="H222" s="10"/>
      <c r="I222" s="12"/>
      <c r="J222" s="13" t="str">
        <f aca="true">IF(D222="","",IF(H222="完了","✓ DONE",IF(G222="","⚠ NO DUE",IF(G222&lt;TODAY(),"🔴 OVERDUE",IF(G222=TODAY(),"🟡 TODAY","")))))</f>
        <v/>
      </c>
      <c r="K222" s="14"/>
      <c r="L222" s="15" t="str">
        <f aca="false">IF(A222="","",SUMIFS(工数ログ!$E$4:$E$1003,工数ログ!$D$4:$D$1003,$A222))</f>
        <v/>
      </c>
      <c r="M222" s="9"/>
      <c r="N222" s="9"/>
      <c r="O222" s="11"/>
      <c r="P222" s="11"/>
      <c r="Q222" s="2"/>
      <c r="R222" s="2"/>
    </row>
    <row r="223" customFormat="false" ht="15" hidden="false" customHeight="false" outlineLevel="0" collapsed="false">
      <c r="A223" s="6" t="str">
        <f aca="false">IF(D223="","",ROW()-3)</f>
        <v/>
      </c>
      <c r="B223" s="7" t="str">
        <f aca="false">IF($C223="","",IFERROR(INDEX(案件マスタ!$A$4:$A$23,MATCH($C223,案件マスタ!$B$4:$B$23,0)),"?"))</f>
        <v/>
      </c>
      <c r="C223" s="8"/>
      <c r="D223" s="9"/>
      <c r="E223" s="10"/>
      <c r="F223" s="11"/>
      <c r="G223" s="11"/>
      <c r="H223" s="10"/>
      <c r="I223" s="12"/>
      <c r="J223" s="13" t="str">
        <f aca="true">IF(D223="","",IF(H223="完了","✓ DONE",IF(G223="","⚠ NO DUE",IF(G223&lt;TODAY(),"🔴 OVERDUE",IF(G223=TODAY(),"🟡 TODAY","")))))</f>
        <v/>
      </c>
      <c r="K223" s="14"/>
      <c r="L223" s="15" t="str">
        <f aca="false">IF(A223="","",SUMIFS(工数ログ!$E$4:$E$1003,工数ログ!$D$4:$D$1003,$A223))</f>
        <v/>
      </c>
      <c r="M223" s="9"/>
      <c r="N223" s="9"/>
      <c r="O223" s="11"/>
      <c r="P223" s="11"/>
      <c r="Q223" s="2"/>
      <c r="R223" s="2"/>
    </row>
    <row r="224" customFormat="false" ht="15" hidden="false" customHeight="false" outlineLevel="0" collapsed="false">
      <c r="A224" s="6" t="str">
        <f aca="false">IF(D224="","",ROW()-3)</f>
        <v/>
      </c>
      <c r="B224" s="7" t="str">
        <f aca="false">IF($C224="","",IFERROR(INDEX(案件マスタ!$A$4:$A$23,MATCH($C224,案件マスタ!$B$4:$B$23,0)),"?"))</f>
        <v/>
      </c>
      <c r="C224" s="8"/>
      <c r="D224" s="9"/>
      <c r="E224" s="10"/>
      <c r="F224" s="11"/>
      <c r="G224" s="11"/>
      <c r="H224" s="10"/>
      <c r="I224" s="12"/>
      <c r="J224" s="13" t="str">
        <f aca="true">IF(D224="","",IF(H224="完了","✓ DONE",IF(G224="","⚠ NO DUE",IF(G224&lt;TODAY(),"🔴 OVERDUE",IF(G224=TODAY(),"🟡 TODAY","")))))</f>
        <v/>
      </c>
      <c r="K224" s="14"/>
      <c r="L224" s="15" t="str">
        <f aca="false">IF(A224="","",SUMIFS(工数ログ!$E$4:$E$1003,工数ログ!$D$4:$D$1003,$A224))</f>
        <v/>
      </c>
      <c r="M224" s="9"/>
      <c r="N224" s="9"/>
      <c r="O224" s="11"/>
      <c r="P224" s="11"/>
      <c r="Q224" s="2"/>
      <c r="R224" s="2"/>
    </row>
    <row r="225" customFormat="false" ht="15" hidden="false" customHeight="false" outlineLevel="0" collapsed="false">
      <c r="A225" s="6" t="str">
        <f aca="false">IF(D225="","",ROW()-3)</f>
        <v/>
      </c>
      <c r="B225" s="7" t="str">
        <f aca="false">IF($C225="","",IFERROR(INDEX(案件マスタ!$A$4:$A$23,MATCH($C225,案件マスタ!$B$4:$B$23,0)),"?"))</f>
        <v/>
      </c>
      <c r="C225" s="8"/>
      <c r="D225" s="9"/>
      <c r="E225" s="10"/>
      <c r="F225" s="11"/>
      <c r="G225" s="11"/>
      <c r="H225" s="10"/>
      <c r="I225" s="12"/>
      <c r="J225" s="13" t="str">
        <f aca="true">IF(D225="","",IF(H225="完了","✓ DONE",IF(G225="","⚠ NO DUE",IF(G225&lt;TODAY(),"🔴 OVERDUE",IF(G225=TODAY(),"🟡 TODAY","")))))</f>
        <v/>
      </c>
      <c r="K225" s="14"/>
      <c r="L225" s="15" t="str">
        <f aca="false">IF(A225="","",SUMIFS(工数ログ!$E$4:$E$1003,工数ログ!$D$4:$D$1003,$A225))</f>
        <v/>
      </c>
      <c r="M225" s="9"/>
      <c r="N225" s="9"/>
      <c r="O225" s="11"/>
      <c r="P225" s="11"/>
      <c r="Q225" s="2"/>
      <c r="R225" s="2"/>
    </row>
    <row r="226" customFormat="false" ht="15" hidden="false" customHeight="false" outlineLevel="0" collapsed="false">
      <c r="A226" s="6" t="str">
        <f aca="false">IF(D226="","",ROW()-3)</f>
        <v/>
      </c>
      <c r="B226" s="7" t="str">
        <f aca="false">IF($C226="","",IFERROR(INDEX(案件マスタ!$A$4:$A$23,MATCH($C226,案件マスタ!$B$4:$B$23,0)),"?"))</f>
        <v/>
      </c>
      <c r="C226" s="8"/>
      <c r="D226" s="9"/>
      <c r="E226" s="10"/>
      <c r="F226" s="11"/>
      <c r="G226" s="11"/>
      <c r="H226" s="10"/>
      <c r="I226" s="12"/>
      <c r="J226" s="13" t="str">
        <f aca="true">IF(D226="","",IF(H226="完了","✓ DONE",IF(G226="","⚠ NO DUE",IF(G226&lt;TODAY(),"🔴 OVERDUE",IF(G226=TODAY(),"🟡 TODAY","")))))</f>
        <v/>
      </c>
      <c r="K226" s="14"/>
      <c r="L226" s="15" t="str">
        <f aca="false">IF(A226="","",SUMIFS(工数ログ!$E$4:$E$1003,工数ログ!$D$4:$D$1003,$A226))</f>
        <v/>
      </c>
      <c r="M226" s="9"/>
      <c r="N226" s="9"/>
      <c r="O226" s="11"/>
      <c r="P226" s="11"/>
      <c r="Q226" s="2"/>
      <c r="R226" s="2"/>
    </row>
    <row r="227" customFormat="false" ht="15" hidden="false" customHeight="false" outlineLevel="0" collapsed="false">
      <c r="A227" s="6" t="str">
        <f aca="false">IF(D227="","",ROW()-3)</f>
        <v/>
      </c>
      <c r="B227" s="7" t="str">
        <f aca="false">IF($C227="","",IFERROR(INDEX(案件マスタ!$A$4:$A$23,MATCH($C227,案件マスタ!$B$4:$B$23,0)),"?"))</f>
        <v/>
      </c>
      <c r="C227" s="8"/>
      <c r="D227" s="9"/>
      <c r="E227" s="10"/>
      <c r="F227" s="11"/>
      <c r="G227" s="11"/>
      <c r="H227" s="10"/>
      <c r="I227" s="12"/>
      <c r="J227" s="13" t="str">
        <f aca="true">IF(D227="","",IF(H227="完了","✓ DONE",IF(G227="","⚠ NO DUE",IF(G227&lt;TODAY(),"🔴 OVERDUE",IF(G227=TODAY(),"🟡 TODAY","")))))</f>
        <v/>
      </c>
      <c r="K227" s="14"/>
      <c r="L227" s="15" t="str">
        <f aca="false">IF(A227="","",SUMIFS(工数ログ!$E$4:$E$1003,工数ログ!$D$4:$D$1003,$A227))</f>
        <v/>
      </c>
      <c r="M227" s="9"/>
      <c r="N227" s="9"/>
      <c r="O227" s="11"/>
      <c r="P227" s="11"/>
      <c r="Q227" s="2"/>
      <c r="R227" s="2"/>
    </row>
    <row r="228" customFormat="false" ht="15" hidden="false" customHeight="false" outlineLevel="0" collapsed="false">
      <c r="A228" s="6" t="str">
        <f aca="false">IF(D228="","",ROW()-3)</f>
        <v/>
      </c>
      <c r="B228" s="7" t="str">
        <f aca="false">IF($C228="","",IFERROR(INDEX(案件マスタ!$A$4:$A$23,MATCH($C228,案件マスタ!$B$4:$B$23,0)),"?"))</f>
        <v/>
      </c>
      <c r="C228" s="8"/>
      <c r="D228" s="9"/>
      <c r="E228" s="10"/>
      <c r="F228" s="11"/>
      <c r="G228" s="11"/>
      <c r="H228" s="10"/>
      <c r="I228" s="12"/>
      <c r="J228" s="13" t="str">
        <f aca="true">IF(D228="","",IF(H228="完了","✓ DONE",IF(G228="","⚠ NO DUE",IF(G228&lt;TODAY(),"🔴 OVERDUE",IF(G228=TODAY(),"🟡 TODAY","")))))</f>
        <v/>
      </c>
      <c r="K228" s="14"/>
      <c r="L228" s="15" t="str">
        <f aca="false">IF(A228="","",SUMIFS(工数ログ!$E$4:$E$1003,工数ログ!$D$4:$D$1003,$A228))</f>
        <v/>
      </c>
      <c r="M228" s="9"/>
      <c r="N228" s="9"/>
      <c r="O228" s="11"/>
      <c r="P228" s="11"/>
      <c r="Q228" s="2"/>
      <c r="R228" s="2"/>
    </row>
    <row r="229" customFormat="false" ht="15" hidden="false" customHeight="false" outlineLevel="0" collapsed="false">
      <c r="A229" s="6" t="str">
        <f aca="false">IF(D229="","",ROW()-3)</f>
        <v/>
      </c>
      <c r="B229" s="7" t="str">
        <f aca="false">IF($C229="","",IFERROR(INDEX(案件マスタ!$A$4:$A$23,MATCH($C229,案件マスタ!$B$4:$B$23,0)),"?"))</f>
        <v/>
      </c>
      <c r="C229" s="8"/>
      <c r="D229" s="9"/>
      <c r="E229" s="10"/>
      <c r="F229" s="11"/>
      <c r="G229" s="11"/>
      <c r="H229" s="10"/>
      <c r="I229" s="12"/>
      <c r="J229" s="13" t="str">
        <f aca="true">IF(D229="","",IF(H229="完了","✓ DONE",IF(G229="","⚠ NO DUE",IF(G229&lt;TODAY(),"🔴 OVERDUE",IF(G229=TODAY(),"🟡 TODAY","")))))</f>
        <v/>
      </c>
      <c r="K229" s="14"/>
      <c r="L229" s="15" t="str">
        <f aca="false">IF(A229="","",SUMIFS(工数ログ!$E$4:$E$1003,工数ログ!$D$4:$D$1003,$A229))</f>
        <v/>
      </c>
      <c r="M229" s="9"/>
      <c r="N229" s="9"/>
      <c r="O229" s="11"/>
      <c r="P229" s="11"/>
      <c r="Q229" s="2"/>
      <c r="R229" s="2"/>
    </row>
    <row r="230" customFormat="false" ht="15" hidden="false" customHeight="false" outlineLevel="0" collapsed="false">
      <c r="A230" s="6" t="str">
        <f aca="false">IF(D230="","",ROW()-3)</f>
        <v/>
      </c>
      <c r="B230" s="7" t="str">
        <f aca="false">IF($C230="","",IFERROR(INDEX(案件マスタ!$A$4:$A$23,MATCH($C230,案件マスタ!$B$4:$B$23,0)),"?"))</f>
        <v/>
      </c>
      <c r="C230" s="8"/>
      <c r="D230" s="9"/>
      <c r="E230" s="10"/>
      <c r="F230" s="11"/>
      <c r="G230" s="11"/>
      <c r="H230" s="10"/>
      <c r="I230" s="12"/>
      <c r="J230" s="13" t="str">
        <f aca="true">IF(D230="","",IF(H230="完了","✓ DONE",IF(G230="","⚠ NO DUE",IF(G230&lt;TODAY(),"🔴 OVERDUE",IF(G230=TODAY(),"🟡 TODAY","")))))</f>
        <v/>
      </c>
      <c r="K230" s="14"/>
      <c r="L230" s="15" t="str">
        <f aca="false">IF(A230="","",SUMIFS(工数ログ!$E$4:$E$1003,工数ログ!$D$4:$D$1003,$A230))</f>
        <v/>
      </c>
      <c r="M230" s="9"/>
      <c r="N230" s="9"/>
      <c r="O230" s="11"/>
      <c r="P230" s="11"/>
      <c r="Q230" s="2"/>
      <c r="R230" s="2"/>
    </row>
    <row r="231" customFormat="false" ht="15" hidden="false" customHeight="false" outlineLevel="0" collapsed="false">
      <c r="A231" s="6" t="str">
        <f aca="false">IF(D231="","",ROW()-3)</f>
        <v/>
      </c>
      <c r="B231" s="7" t="str">
        <f aca="false">IF($C231="","",IFERROR(INDEX(案件マスタ!$A$4:$A$23,MATCH($C231,案件マスタ!$B$4:$B$23,0)),"?"))</f>
        <v/>
      </c>
      <c r="C231" s="8"/>
      <c r="D231" s="9"/>
      <c r="E231" s="10"/>
      <c r="F231" s="11"/>
      <c r="G231" s="11"/>
      <c r="H231" s="10"/>
      <c r="I231" s="12"/>
      <c r="J231" s="13" t="str">
        <f aca="true">IF(D231="","",IF(H231="完了","✓ DONE",IF(G231="","⚠ NO DUE",IF(G231&lt;TODAY(),"🔴 OVERDUE",IF(G231=TODAY(),"🟡 TODAY","")))))</f>
        <v/>
      </c>
      <c r="K231" s="14"/>
      <c r="L231" s="15" t="str">
        <f aca="false">IF(A231="","",SUMIFS(工数ログ!$E$4:$E$1003,工数ログ!$D$4:$D$1003,$A231))</f>
        <v/>
      </c>
      <c r="M231" s="9"/>
      <c r="N231" s="9"/>
      <c r="O231" s="11"/>
      <c r="P231" s="11"/>
      <c r="Q231" s="2"/>
      <c r="R231" s="2"/>
    </row>
    <row r="232" customFormat="false" ht="15" hidden="false" customHeight="false" outlineLevel="0" collapsed="false">
      <c r="A232" s="6" t="str">
        <f aca="false">IF(D232="","",ROW()-3)</f>
        <v/>
      </c>
      <c r="B232" s="7" t="str">
        <f aca="false">IF($C232="","",IFERROR(INDEX(案件マスタ!$A$4:$A$23,MATCH($C232,案件マスタ!$B$4:$B$23,0)),"?"))</f>
        <v/>
      </c>
      <c r="C232" s="8"/>
      <c r="D232" s="9"/>
      <c r="E232" s="10"/>
      <c r="F232" s="11"/>
      <c r="G232" s="11"/>
      <c r="H232" s="10"/>
      <c r="I232" s="12"/>
      <c r="J232" s="13" t="str">
        <f aca="true">IF(D232="","",IF(H232="完了","✓ DONE",IF(G232="","⚠ NO DUE",IF(G232&lt;TODAY(),"🔴 OVERDUE",IF(G232=TODAY(),"🟡 TODAY","")))))</f>
        <v/>
      </c>
      <c r="K232" s="14"/>
      <c r="L232" s="15" t="str">
        <f aca="false">IF(A232="","",SUMIFS(工数ログ!$E$4:$E$1003,工数ログ!$D$4:$D$1003,$A232))</f>
        <v/>
      </c>
      <c r="M232" s="9"/>
      <c r="N232" s="9"/>
      <c r="O232" s="11"/>
      <c r="P232" s="11"/>
      <c r="Q232" s="2"/>
      <c r="R232" s="2"/>
    </row>
    <row r="233" customFormat="false" ht="15" hidden="false" customHeight="false" outlineLevel="0" collapsed="false">
      <c r="A233" s="6" t="str">
        <f aca="false">IF(D233="","",ROW()-3)</f>
        <v/>
      </c>
      <c r="B233" s="7" t="str">
        <f aca="false">IF($C233="","",IFERROR(INDEX(案件マスタ!$A$4:$A$23,MATCH($C233,案件マスタ!$B$4:$B$23,0)),"?"))</f>
        <v/>
      </c>
      <c r="C233" s="8"/>
      <c r="D233" s="9"/>
      <c r="E233" s="10"/>
      <c r="F233" s="11"/>
      <c r="G233" s="11"/>
      <c r="H233" s="10"/>
      <c r="I233" s="12"/>
      <c r="J233" s="13" t="str">
        <f aca="true">IF(D233="","",IF(H233="完了","✓ DONE",IF(G233="","⚠ NO DUE",IF(G233&lt;TODAY(),"🔴 OVERDUE",IF(G233=TODAY(),"🟡 TODAY","")))))</f>
        <v/>
      </c>
      <c r="K233" s="14"/>
      <c r="L233" s="15" t="str">
        <f aca="false">IF(A233="","",SUMIFS(工数ログ!$E$4:$E$1003,工数ログ!$D$4:$D$1003,$A233))</f>
        <v/>
      </c>
      <c r="M233" s="9"/>
      <c r="N233" s="9"/>
      <c r="O233" s="11"/>
      <c r="P233" s="11"/>
      <c r="Q233" s="2"/>
      <c r="R233" s="2"/>
    </row>
    <row r="234" customFormat="false" ht="15" hidden="false" customHeight="false" outlineLevel="0" collapsed="false">
      <c r="A234" s="6" t="str">
        <f aca="false">IF(D234="","",ROW()-3)</f>
        <v/>
      </c>
      <c r="B234" s="7" t="str">
        <f aca="false">IF($C234="","",IFERROR(INDEX(案件マスタ!$A$4:$A$23,MATCH($C234,案件マスタ!$B$4:$B$23,0)),"?"))</f>
        <v/>
      </c>
      <c r="C234" s="8"/>
      <c r="D234" s="9"/>
      <c r="E234" s="10"/>
      <c r="F234" s="11"/>
      <c r="G234" s="11"/>
      <c r="H234" s="10"/>
      <c r="I234" s="12"/>
      <c r="J234" s="13" t="str">
        <f aca="true">IF(D234="","",IF(H234="完了","✓ DONE",IF(G234="","⚠ NO DUE",IF(G234&lt;TODAY(),"🔴 OVERDUE",IF(G234=TODAY(),"🟡 TODAY","")))))</f>
        <v/>
      </c>
      <c r="K234" s="14"/>
      <c r="L234" s="15" t="str">
        <f aca="false">IF(A234="","",SUMIFS(工数ログ!$E$4:$E$1003,工数ログ!$D$4:$D$1003,$A234))</f>
        <v/>
      </c>
      <c r="M234" s="9"/>
      <c r="N234" s="9"/>
      <c r="O234" s="11"/>
      <c r="P234" s="11"/>
      <c r="Q234" s="2"/>
      <c r="R234" s="2"/>
    </row>
    <row r="235" customFormat="false" ht="15" hidden="false" customHeight="false" outlineLevel="0" collapsed="false">
      <c r="A235" s="6" t="str">
        <f aca="false">IF(D235="","",ROW()-3)</f>
        <v/>
      </c>
      <c r="B235" s="7" t="str">
        <f aca="false">IF($C235="","",IFERROR(INDEX(案件マスタ!$A$4:$A$23,MATCH($C235,案件マスタ!$B$4:$B$23,0)),"?"))</f>
        <v/>
      </c>
      <c r="C235" s="8"/>
      <c r="D235" s="9"/>
      <c r="E235" s="10"/>
      <c r="F235" s="11"/>
      <c r="G235" s="11"/>
      <c r="H235" s="10"/>
      <c r="I235" s="12"/>
      <c r="J235" s="13" t="str">
        <f aca="true">IF(D235="","",IF(H235="完了","✓ DONE",IF(G235="","⚠ NO DUE",IF(G235&lt;TODAY(),"🔴 OVERDUE",IF(G235=TODAY(),"🟡 TODAY","")))))</f>
        <v/>
      </c>
      <c r="K235" s="14"/>
      <c r="L235" s="15" t="str">
        <f aca="false">IF(A235="","",SUMIFS(工数ログ!$E$4:$E$1003,工数ログ!$D$4:$D$1003,$A235))</f>
        <v/>
      </c>
      <c r="M235" s="9"/>
      <c r="N235" s="9"/>
      <c r="O235" s="11"/>
      <c r="P235" s="11"/>
      <c r="Q235" s="2"/>
      <c r="R235" s="2"/>
    </row>
    <row r="236" customFormat="false" ht="15" hidden="false" customHeight="false" outlineLevel="0" collapsed="false">
      <c r="A236" s="6" t="str">
        <f aca="false">IF(D236="","",ROW()-3)</f>
        <v/>
      </c>
      <c r="B236" s="7" t="str">
        <f aca="false">IF($C236="","",IFERROR(INDEX(案件マスタ!$A$4:$A$23,MATCH($C236,案件マスタ!$B$4:$B$23,0)),"?"))</f>
        <v/>
      </c>
      <c r="C236" s="8"/>
      <c r="D236" s="9"/>
      <c r="E236" s="10"/>
      <c r="F236" s="11"/>
      <c r="G236" s="11"/>
      <c r="H236" s="10"/>
      <c r="I236" s="12"/>
      <c r="J236" s="13" t="str">
        <f aca="true">IF(D236="","",IF(H236="完了","✓ DONE",IF(G236="","⚠ NO DUE",IF(G236&lt;TODAY(),"🔴 OVERDUE",IF(G236=TODAY(),"🟡 TODAY","")))))</f>
        <v/>
      </c>
      <c r="K236" s="14"/>
      <c r="L236" s="15" t="str">
        <f aca="false">IF(A236="","",SUMIFS(工数ログ!$E$4:$E$1003,工数ログ!$D$4:$D$1003,$A236))</f>
        <v/>
      </c>
      <c r="M236" s="9"/>
      <c r="N236" s="9"/>
      <c r="O236" s="11"/>
      <c r="P236" s="11"/>
      <c r="Q236" s="2"/>
      <c r="R236" s="2"/>
    </row>
    <row r="237" customFormat="false" ht="15" hidden="false" customHeight="false" outlineLevel="0" collapsed="false">
      <c r="A237" s="6" t="str">
        <f aca="false">IF(D237="","",ROW()-3)</f>
        <v/>
      </c>
      <c r="B237" s="7" t="str">
        <f aca="false">IF($C237="","",IFERROR(INDEX(案件マスタ!$A$4:$A$23,MATCH($C237,案件マスタ!$B$4:$B$23,0)),"?"))</f>
        <v/>
      </c>
      <c r="C237" s="8"/>
      <c r="D237" s="9"/>
      <c r="E237" s="10"/>
      <c r="F237" s="11"/>
      <c r="G237" s="11"/>
      <c r="H237" s="10"/>
      <c r="I237" s="12"/>
      <c r="J237" s="13" t="str">
        <f aca="true">IF(D237="","",IF(H237="完了","✓ DONE",IF(G237="","⚠ NO DUE",IF(G237&lt;TODAY(),"🔴 OVERDUE",IF(G237=TODAY(),"🟡 TODAY","")))))</f>
        <v/>
      </c>
      <c r="K237" s="14"/>
      <c r="L237" s="15" t="str">
        <f aca="false">IF(A237="","",SUMIFS(工数ログ!$E$4:$E$1003,工数ログ!$D$4:$D$1003,$A237))</f>
        <v/>
      </c>
      <c r="M237" s="9"/>
      <c r="N237" s="9"/>
      <c r="O237" s="11"/>
      <c r="P237" s="11"/>
      <c r="Q237" s="2"/>
      <c r="R237" s="2"/>
    </row>
    <row r="238" customFormat="false" ht="15" hidden="false" customHeight="false" outlineLevel="0" collapsed="false">
      <c r="A238" s="6" t="str">
        <f aca="false">IF(D238="","",ROW()-3)</f>
        <v/>
      </c>
      <c r="B238" s="7" t="str">
        <f aca="false">IF($C238="","",IFERROR(INDEX(案件マスタ!$A$4:$A$23,MATCH($C238,案件マスタ!$B$4:$B$23,0)),"?"))</f>
        <v/>
      </c>
      <c r="C238" s="8"/>
      <c r="D238" s="9"/>
      <c r="E238" s="10"/>
      <c r="F238" s="11"/>
      <c r="G238" s="11"/>
      <c r="H238" s="10"/>
      <c r="I238" s="12"/>
      <c r="J238" s="13" t="str">
        <f aca="true">IF(D238="","",IF(H238="完了","✓ DONE",IF(G238="","⚠ NO DUE",IF(G238&lt;TODAY(),"🔴 OVERDUE",IF(G238=TODAY(),"🟡 TODAY","")))))</f>
        <v/>
      </c>
      <c r="K238" s="14"/>
      <c r="L238" s="15" t="str">
        <f aca="false">IF(A238="","",SUMIFS(工数ログ!$E$4:$E$1003,工数ログ!$D$4:$D$1003,$A238))</f>
        <v/>
      </c>
      <c r="M238" s="9"/>
      <c r="N238" s="9"/>
      <c r="O238" s="11"/>
      <c r="P238" s="11"/>
      <c r="Q238" s="2"/>
      <c r="R238" s="2"/>
    </row>
    <row r="239" customFormat="false" ht="15" hidden="false" customHeight="false" outlineLevel="0" collapsed="false">
      <c r="A239" s="6" t="str">
        <f aca="false">IF(D239="","",ROW()-3)</f>
        <v/>
      </c>
      <c r="B239" s="7" t="str">
        <f aca="false">IF($C239="","",IFERROR(INDEX(案件マスタ!$A$4:$A$23,MATCH($C239,案件マスタ!$B$4:$B$23,0)),"?"))</f>
        <v/>
      </c>
      <c r="C239" s="8"/>
      <c r="D239" s="9"/>
      <c r="E239" s="10"/>
      <c r="F239" s="11"/>
      <c r="G239" s="11"/>
      <c r="H239" s="10"/>
      <c r="I239" s="12"/>
      <c r="J239" s="13" t="str">
        <f aca="true">IF(D239="","",IF(H239="完了","✓ DONE",IF(G239="","⚠ NO DUE",IF(G239&lt;TODAY(),"🔴 OVERDUE",IF(G239=TODAY(),"🟡 TODAY","")))))</f>
        <v/>
      </c>
      <c r="K239" s="14"/>
      <c r="L239" s="15" t="str">
        <f aca="false">IF(A239="","",SUMIFS(工数ログ!$E$4:$E$1003,工数ログ!$D$4:$D$1003,$A239))</f>
        <v/>
      </c>
      <c r="M239" s="9"/>
      <c r="N239" s="9"/>
      <c r="O239" s="11"/>
      <c r="P239" s="11"/>
      <c r="Q239" s="2"/>
      <c r="R239" s="2"/>
    </row>
    <row r="240" customFormat="false" ht="15" hidden="false" customHeight="false" outlineLevel="0" collapsed="false">
      <c r="A240" s="6" t="str">
        <f aca="false">IF(D240="","",ROW()-3)</f>
        <v/>
      </c>
      <c r="B240" s="7" t="str">
        <f aca="false">IF($C240="","",IFERROR(INDEX(案件マスタ!$A$4:$A$23,MATCH($C240,案件マスタ!$B$4:$B$23,0)),"?"))</f>
        <v/>
      </c>
      <c r="C240" s="8"/>
      <c r="D240" s="9"/>
      <c r="E240" s="10"/>
      <c r="F240" s="11"/>
      <c r="G240" s="11"/>
      <c r="H240" s="10"/>
      <c r="I240" s="12"/>
      <c r="J240" s="13" t="str">
        <f aca="true">IF(D240="","",IF(H240="完了","✓ DONE",IF(G240="","⚠ NO DUE",IF(G240&lt;TODAY(),"🔴 OVERDUE",IF(G240=TODAY(),"🟡 TODAY","")))))</f>
        <v/>
      </c>
      <c r="K240" s="14"/>
      <c r="L240" s="15" t="str">
        <f aca="false">IF(A240="","",SUMIFS(工数ログ!$E$4:$E$1003,工数ログ!$D$4:$D$1003,$A240))</f>
        <v/>
      </c>
      <c r="M240" s="9"/>
      <c r="N240" s="9"/>
      <c r="O240" s="11"/>
      <c r="P240" s="11"/>
      <c r="Q240" s="2"/>
      <c r="R240" s="2"/>
    </row>
    <row r="241" customFormat="false" ht="15" hidden="false" customHeight="false" outlineLevel="0" collapsed="false">
      <c r="A241" s="6" t="str">
        <f aca="false">IF(D241="","",ROW()-3)</f>
        <v/>
      </c>
      <c r="B241" s="7" t="str">
        <f aca="false">IF($C241="","",IFERROR(INDEX(案件マスタ!$A$4:$A$23,MATCH($C241,案件マスタ!$B$4:$B$23,0)),"?"))</f>
        <v/>
      </c>
      <c r="C241" s="8"/>
      <c r="D241" s="9"/>
      <c r="E241" s="10"/>
      <c r="F241" s="11"/>
      <c r="G241" s="11"/>
      <c r="H241" s="10"/>
      <c r="I241" s="12"/>
      <c r="J241" s="13" t="str">
        <f aca="true">IF(D241="","",IF(H241="完了","✓ DONE",IF(G241="","⚠ NO DUE",IF(G241&lt;TODAY(),"🔴 OVERDUE",IF(G241=TODAY(),"🟡 TODAY","")))))</f>
        <v/>
      </c>
      <c r="K241" s="14"/>
      <c r="L241" s="15" t="str">
        <f aca="false">IF(A241="","",SUMIFS(工数ログ!$E$4:$E$1003,工数ログ!$D$4:$D$1003,$A241))</f>
        <v/>
      </c>
      <c r="M241" s="9"/>
      <c r="N241" s="9"/>
      <c r="O241" s="11"/>
      <c r="P241" s="11"/>
      <c r="Q241" s="2"/>
      <c r="R241" s="2"/>
    </row>
    <row r="242" customFormat="false" ht="15" hidden="false" customHeight="false" outlineLevel="0" collapsed="false">
      <c r="A242" s="6" t="str">
        <f aca="false">IF(D242="","",ROW()-3)</f>
        <v/>
      </c>
      <c r="B242" s="7" t="str">
        <f aca="false">IF($C242="","",IFERROR(INDEX(案件マスタ!$A$4:$A$23,MATCH($C242,案件マスタ!$B$4:$B$23,0)),"?"))</f>
        <v/>
      </c>
      <c r="C242" s="8"/>
      <c r="D242" s="9"/>
      <c r="E242" s="10"/>
      <c r="F242" s="11"/>
      <c r="G242" s="11"/>
      <c r="H242" s="10"/>
      <c r="I242" s="12"/>
      <c r="J242" s="13" t="str">
        <f aca="true">IF(D242="","",IF(H242="完了","✓ DONE",IF(G242="","⚠ NO DUE",IF(G242&lt;TODAY(),"🔴 OVERDUE",IF(G242=TODAY(),"🟡 TODAY","")))))</f>
        <v/>
      </c>
      <c r="K242" s="14"/>
      <c r="L242" s="15" t="str">
        <f aca="false">IF(A242="","",SUMIFS(工数ログ!$E$4:$E$1003,工数ログ!$D$4:$D$1003,$A242))</f>
        <v/>
      </c>
      <c r="M242" s="9"/>
      <c r="N242" s="9"/>
      <c r="O242" s="11"/>
      <c r="P242" s="11"/>
      <c r="Q242" s="2"/>
      <c r="R242" s="2"/>
    </row>
    <row r="243" customFormat="false" ht="15" hidden="false" customHeight="false" outlineLevel="0" collapsed="false">
      <c r="A243" s="6" t="str">
        <f aca="false">IF(D243="","",ROW()-3)</f>
        <v/>
      </c>
      <c r="B243" s="7" t="str">
        <f aca="false">IF($C243="","",IFERROR(INDEX(案件マスタ!$A$4:$A$23,MATCH($C243,案件マスタ!$B$4:$B$23,0)),"?"))</f>
        <v/>
      </c>
      <c r="C243" s="8"/>
      <c r="D243" s="9"/>
      <c r="E243" s="10"/>
      <c r="F243" s="11"/>
      <c r="G243" s="11"/>
      <c r="H243" s="10"/>
      <c r="I243" s="12"/>
      <c r="J243" s="13" t="str">
        <f aca="true">IF(D243="","",IF(H243="完了","✓ DONE",IF(G243="","⚠ NO DUE",IF(G243&lt;TODAY(),"🔴 OVERDUE",IF(G243=TODAY(),"🟡 TODAY","")))))</f>
        <v/>
      </c>
      <c r="K243" s="14"/>
      <c r="L243" s="15" t="str">
        <f aca="false">IF(A243="","",SUMIFS(工数ログ!$E$4:$E$1003,工数ログ!$D$4:$D$1003,$A243))</f>
        <v/>
      </c>
      <c r="M243" s="9"/>
      <c r="N243" s="9"/>
      <c r="O243" s="11"/>
      <c r="P243" s="11"/>
      <c r="Q243" s="2"/>
      <c r="R243" s="2"/>
    </row>
    <row r="244" customFormat="false" ht="15" hidden="false" customHeight="false" outlineLevel="0" collapsed="false">
      <c r="A244" s="6" t="str">
        <f aca="false">IF(D244="","",ROW()-3)</f>
        <v/>
      </c>
      <c r="B244" s="7" t="str">
        <f aca="false">IF($C244="","",IFERROR(INDEX(案件マスタ!$A$4:$A$23,MATCH($C244,案件マスタ!$B$4:$B$23,0)),"?"))</f>
        <v/>
      </c>
      <c r="C244" s="8"/>
      <c r="D244" s="9"/>
      <c r="E244" s="10"/>
      <c r="F244" s="11"/>
      <c r="G244" s="11"/>
      <c r="H244" s="10"/>
      <c r="I244" s="12"/>
      <c r="J244" s="13" t="str">
        <f aca="true">IF(D244="","",IF(H244="完了","✓ DONE",IF(G244="","⚠ NO DUE",IF(G244&lt;TODAY(),"🔴 OVERDUE",IF(G244=TODAY(),"🟡 TODAY","")))))</f>
        <v/>
      </c>
      <c r="K244" s="14"/>
      <c r="L244" s="15" t="str">
        <f aca="false">IF(A244="","",SUMIFS(工数ログ!$E$4:$E$1003,工数ログ!$D$4:$D$1003,$A244))</f>
        <v/>
      </c>
      <c r="M244" s="9"/>
      <c r="N244" s="9"/>
      <c r="O244" s="11"/>
      <c r="P244" s="11"/>
      <c r="Q244" s="2"/>
      <c r="R244" s="2"/>
    </row>
    <row r="245" customFormat="false" ht="15" hidden="false" customHeight="false" outlineLevel="0" collapsed="false">
      <c r="A245" s="6" t="str">
        <f aca="false">IF(D245="","",ROW()-3)</f>
        <v/>
      </c>
      <c r="B245" s="7" t="str">
        <f aca="false">IF($C245="","",IFERROR(INDEX(案件マスタ!$A$4:$A$23,MATCH($C245,案件マスタ!$B$4:$B$23,0)),"?"))</f>
        <v/>
      </c>
      <c r="C245" s="8"/>
      <c r="D245" s="9"/>
      <c r="E245" s="10"/>
      <c r="F245" s="11"/>
      <c r="G245" s="11"/>
      <c r="H245" s="10"/>
      <c r="I245" s="12"/>
      <c r="J245" s="13" t="str">
        <f aca="true">IF(D245="","",IF(H245="完了","✓ DONE",IF(G245="","⚠ NO DUE",IF(G245&lt;TODAY(),"🔴 OVERDUE",IF(G245=TODAY(),"🟡 TODAY","")))))</f>
        <v/>
      </c>
      <c r="K245" s="14"/>
      <c r="L245" s="15" t="str">
        <f aca="false">IF(A245="","",SUMIFS(工数ログ!$E$4:$E$1003,工数ログ!$D$4:$D$1003,$A245))</f>
        <v/>
      </c>
      <c r="M245" s="9"/>
      <c r="N245" s="9"/>
      <c r="O245" s="11"/>
      <c r="P245" s="11"/>
      <c r="Q245" s="2"/>
      <c r="R245" s="2"/>
    </row>
    <row r="246" customFormat="false" ht="15" hidden="false" customHeight="false" outlineLevel="0" collapsed="false">
      <c r="A246" s="6" t="str">
        <f aca="false">IF(D246="","",ROW()-3)</f>
        <v/>
      </c>
      <c r="B246" s="7" t="str">
        <f aca="false">IF($C246="","",IFERROR(INDEX(案件マスタ!$A$4:$A$23,MATCH($C246,案件マスタ!$B$4:$B$23,0)),"?"))</f>
        <v/>
      </c>
      <c r="C246" s="8"/>
      <c r="D246" s="9"/>
      <c r="E246" s="10"/>
      <c r="F246" s="11"/>
      <c r="G246" s="11"/>
      <c r="H246" s="10"/>
      <c r="I246" s="12"/>
      <c r="J246" s="13" t="str">
        <f aca="true">IF(D246="","",IF(H246="完了","✓ DONE",IF(G246="","⚠ NO DUE",IF(G246&lt;TODAY(),"🔴 OVERDUE",IF(G246=TODAY(),"🟡 TODAY","")))))</f>
        <v/>
      </c>
      <c r="K246" s="14"/>
      <c r="L246" s="15" t="str">
        <f aca="false">IF(A246="","",SUMIFS(工数ログ!$E$4:$E$1003,工数ログ!$D$4:$D$1003,$A246))</f>
        <v/>
      </c>
      <c r="M246" s="9"/>
      <c r="N246" s="9"/>
      <c r="O246" s="11"/>
      <c r="P246" s="11"/>
      <c r="Q246" s="2"/>
      <c r="R246" s="2"/>
    </row>
    <row r="247" customFormat="false" ht="15" hidden="false" customHeight="false" outlineLevel="0" collapsed="false">
      <c r="A247" s="6" t="str">
        <f aca="false">IF(D247="","",ROW()-3)</f>
        <v/>
      </c>
      <c r="B247" s="7" t="str">
        <f aca="false">IF($C247="","",IFERROR(INDEX(案件マスタ!$A$4:$A$23,MATCH($C247,案件マスタ!$B$4:$B$23,0)),"?"))</f>
        <v/>
      </c>
      <c r="C247" s="8"/>
      <c r="D247" s="9"/>
      <c r="E247" s="10"/>
      <c r="F247" s="11"/>
      <c r="G247" s="11"/>
      <c r="H247" s="10"/>
      <c r="I247" s="12"/>
      <c r="J247" s="13" t="str">
        <f aca="true">IF(D247="","",IF(H247="完了","✓ DONE",IF(G247="","⚠ NO DUE",IF(G247&lt;TODAY(),"🔴 OVERDUE",IF(G247=TODAY(),"🟡 TODAY","")))))</f>
        <v/>
      </c>
      <c r="K247" s="14"/>
      <c r="L247" s="15" t="str">
        <f aca="false">IF(A247="","",SUMIFS(工数ログ!$E$4:$E$1003,工数ログ!$D$4:$D$1003,$A247))</f>
        <v/>
      </c>
      <c r="M247" s="9"/>
      <c r="N247" s="9"/>
      <c r="O247" s="11"/>
      <c r="P247" s="11"/>
      <c r="Q247" s="2"/>
      <c r="R247" s="2"/>
    </row>
    <row r="248" customFormat="false" ht="15" hidden="false" customHeight="false" outlineLevel="0" collapsed="false">
      <c r="A248" s="6" t="str">
        <f aca="false">IF(D248="","",ROW()-3)</f>
        <v/>
      </c>
      <c r="B248" s="7" t="str">
        <f aca="false">IF($C248="","",IFERROR(INDEX(案件マスタ!$A$4:$A$23,MATCH($C248,案件マスタ!$B$4:$B$23,0)),"?"))</f>
        <v/>
      </c>
      <c r="C248" s="8"/>
      <c r="D248" s="9"/>
      <c r="E248" s="10"/>
      <c r="F248" s="11"/>
      <c r="G248" s="11"/>
      <c r="H248" s="10"/>
      <c r="I248" s="12"/>
      <c r="J248" s="13" t="str">
        <f aca="true">IF(D248="","",IF(H248="完了","✓ DONE",IF(G248="","⚠ NO DUE",IF(G248&lt;TODAY(),"🔴 OVERDUE",IF(G248=TODAY(),"🟡 TODAY","")))))</f>
        <v/>
      </c>
      <c r="K248" s="14"/>
      <c r="L248" s="15" t="str">
        <f aca="false">IF(A248="","",SUMIFS(工数ログ!$E$4:$E$1003,工数ログ!$D$4:$D$1003,$A248))</f>
        <v/>
      </c>
      <c r="M248" s="9"/>
      <c r="N248" s="9"/>
      <c r="O248" s="11"/>
      <c r="P248" s="11"/>
      <c r="Q248" s="2"/>
      <c r="R248" s="2"/>
    </row>
    <row r="249" customFormat="false" ht="15" hidden="false" customHeight="false" outlineLevel="0" collapsed="false">
      <c r="A249" s="6" t="str">
        <f aca="false">IF(D249="","",ROW()-3)</f>
        <v/>
      </c>
      <c r="B249" s="7" t="str">
        <f aca="false">IF($C249="","",IFERROR(INDEX(案件マスタ!$A$4:$A$23,MATCH($C249,案件マスタ!$B$4:$B$23,0)),"?"))</f>
        <v/>
      </c>
      <c r="C249" s="8"/>
      <c r="D249" s="9"/>
      <c r="E249" s="10"/>
      <c r="F249" s="11"/>
      <c r="G249" s="11"/>
      <c r="H249" s="10"/>
      <c r="I249" s="12"/>
      <c r="J249" s="13" t="str">
        <f aca="true">IF(D249="","",IF(H249="完了","✓ DONE",IF(G249="","⚠ NO DUE",IF(G249&lt;TODAY(),"🔴 OVERDUE",IF(G249=TODAY(),"🟡 TODAY","")))))</f>
        <v/>
      </c>
      <c r="K249" s="14"/>
      <c r="L249" s="15" t="str">
        <f aca="false">IF(A249="","",SUMIFS(工数ログ!$E$4:$E$1003,工数ログ!$D$4:$D$1003,$A249))</f>
        <v/>
      </c>
      <c r="M249" s="9"/>
      <c r="N249" s="9"/>
      <c r="O249" s="11"/>
      <c r="P249" s="11"/>
      <c r="Q249" s="2"/>
      <c r="R249" s="2"/>
    </row>
    <row r="250" customFormat="false" ht="15" hidden="false" customHeight="false" outlineLevel="0" collapsed="false">
      <c r="A250" s="6" t="str">
        <f aca="false">IF(D250="","",ROW()-3)</f>
        <v/>
      </c>
      <c r="B250" s="7" t="str">
        <f aca="false">IF($C250="","",IFERROR(INDEX(案件マスタ!$A$4:$A$23,MATCH($C250,案件マスタ!$B$4:$B$23,0)),"?"))</f>
        <v/>
      </c>
      <c r="C250" s="8"/>
      <c r="D250" s="9"/>
      <c r="E250" s="10"/>
      <c r="F250" s="11"/>
      <c r="G250" s="11"/>
      <c r="H250" s="10"/>
      <c r="I250" s="12"/>
      <c r="J250" s="13" t="str">
        <f aca="true">IF(D250="","",IF(H250="完了","✓ DONE",IF(G250="","⚠ NO DUE",IF(G250&lt;TODAY(),"🔴 OVERDUE",IF(G250=TODAY(),"🟡 TODAY","")))))</f>
        <v/>
      </c>
      <c r="K250" s="14"/>
      <c r="L250" s="15" t="str">
        <f aca="false">IF(A250="","",SUMIFS(工数ログ!$E$4:$E$1003,工数ログ!$D$4:$D$1003,$A250))</f>
        <v/>
      </c>
      <c r="M250" s="9"/>
      <c r="N250" s="9"/>
      <c r="O250" s="11"/>
      <c r="P250" s="11"/>
      <c r="Q250" s="2"/>
      <c r="R250" s="2"/>
    </row>
    <row r="251" customFormat="false" ht="15" hidden="false" customHeight="false" outlineLevel="0" collapsed="false">
      <c r="A251" s="6" t="str">
        <f aca="false">IF(D251="","",ROW()-3)</f>
        <v/>
      </c>
      <c r="B251" s="7" t="str">
        <f aca="false">IF($C251="","",IFERROR(INDEX(案件マスタ!$A$4:$A$23,MATCH($C251,案件マスタ!$B$4:$B$23,0)),"?"))</f>
        <v/>
      </c>
      <c r="C251" s="8"/>
      <c r="D251" s="9"/>
      <c r="E251" s="10"/>
      <c r="F251" s="11"/>
      <c r="G251" s="11"/>
      <c r="H251" s="10"/>
      <c r="I251" s="12"/>
      <c r="J251" s="13" t="str">
        <f aca="true">IF(D251="","",IF(H251="完了","✓ DONE",IF(G251="","⚠ NO DUE",IF(G251&lt;TODAY(),"🔴 OVERDUE",IF(G251=TODAY(),"🟡 TODAY","")))))</f>
        <v/>
      </c>
      <c r="K251" s="14"/>
      <c r="L251" s="15" t="str">
        <f aca="false">IF(A251="","",SUMIFS(工数ログ!$E$4:$E$1003,工数ログ!$D$4:$D$1003,$A251))</f>
        <v/>
      </c>
      <c r="M251" s="9"/>
      <c r="N251" s="9"/>
      <c r="O251" s="11"/>
      <c r="P251" s="11"/>
      <c r="Q251" s="2"/>
      <c r="R251" s="2"/>
    </row>
    <row r="252" customFormat="false" ht="15" hidden="false" customHeight="false" outlineLevel="0" collapsed="false">
      <c r="A252" s="6" t="str">
        <f aca="false">IF(D252="","",ROW()-3)</f>
        <v/>
      </c>
      <c r="B252" s="7" t="str">
        <f aca="false">IF($C252="","",IFERROR(INDEX(案件マスタ!$A$4:$A$23,MATCH($C252,案件マスタ!$B$4:$B$23,0)),"?"))</f>
        <v/>
      </c>
      <c r="C252" s="8"/>
      <c r="D252" s="9"/>
      <c r="E252" s="10"/>
      <c r="F252" s="11"/>
      <c r="G252" s="11"/>
      <c r="H252" s="10"/>
      <c r="I252" s="12"/>
      <c r="J252" s="13" t="str">
        <f aca="true">IF(D252="","",IF(H252="完了","✓ DONE",IF(G252="","⚠ NO DUE",IF(G252&lt;TODAY(),"🔴 OVERDUE",IF(G252=TODAY(),"🟡 TODAY","")))))</f>
        <v/>
      </c>
      <c r="K252" s="14"/>
      <c r="L252" s="15" t="str">
        <f aca="false">IF(A252="","",SUMIFS(工数ログ!$E$4:$E$1003,工数ログ!$D$4:$D$1003,$A252))</f>
        <v/>
      </c>
      <c r="M252" s="9"/>
      <c r="N252" s="9"/>
      <c r="O252" s="11"/>
      <c r="P252" s="11"/>
      <c r="Q252" s="2"/>
      <c r="R252" s="2"/>
    </row>
    <row r="253" customFormat="false" ht="15" hidden="false" customHeight="false" outlineLevel="0" collapsed="false">
      <c r="A253" s="6" t="str">
        <f aca="false">IF(D253="","",ROW()-3)</f>
        <v/>
      </c>
      <c r="B253" s="7" t="str">
        <f aca="false">IF($C253="","",IFERROR(INDEX(案件マスタ!$A$4:$A$23,MATCH($C253,案件マスタ!$B$4:$B$23,0)),"?"))</f>
        <v/>
      </c>
      <c r="C253" s="8"/>
      <c r="D253" s="9"/>
      <c r="E253" s="10"/>
      <c r="F253" s="11"/>
      <c r="G253" s="11"/>
      <c r="H253" s="10"/>
      <c r="I253" s="12"/>
      <c r="J253" s="13" t="str">
        <f aca="true">IF(D253="","",IF(H253="完了","✓ DONE",IF(G253="","⚠ NO DUE",IF(G253&lt;TODAY(),"🔴 OVERDUE",IF(G253=TODAY(),"🟡 TODAY","")))))</f>
        <v/>
      </c>
      <c r="K253" s="14"/>
      <c r="L253" s="15" t="str">
        <f aca="false">IF(A253="","",SUMIFS(工数ログ!$E$4:$E$1003,工数ログ!$D$4:$D$1003,$A253))</f>
        <v/>
      </c>
      <c r="M253" s="9"/>
      <c r="N253" s="9"/>
      <c r="O253" s="11"/>
      <c r="P253" s="11"/>
      <c r="Q253" s="2"/>
      <c r="R253" s="2"/>
    </row>
    <row r="254" customFormat="false" ht="15" hidden="false" customHeight="false" outlineLevel="0" collapsed="false">
      <c r="A254" s="6" t="str">
        <f aca="false">IF(D254="","",ROW()-3)</f>
        <v/>
      </c>
      <c r="B254" s="7" t="str">
        <f aca="false">IF($C254="","",IFERROR(INDEX(案件マスタ!$A$4:$A$23,MATCH($C254,案件マスタ!$B$4:$B$23,0)),"?"))</f>
        <v/>
      </c>
      <c r="C254" s="8"/>
      <c r="D254" s="9"/>
      <c r="E254" s="10"/>
      <c r="F254" s="11"/>
      <c r="G254" s="11"/>
      <c r="H254" s="10"/>
      <c r="I254" s="12"/>
      <c r="J254" s="13" t="str">
        <f aca="true">IF(D254="","",IF(H254="完了","✓ DONE",IF(G254="","⚠ NO DUE",IF(G254&lt;TODAY(),"🔴 OVERDUE",IF(G254=TODAY(),"🟡 TODAY","")))))</f>
        <v/>
      </c>
      <c r="K254" s="14"/>
      <c r="L254" s="15" t="str">
        <f aca="false">IF(A254="","",SUMIFS(工数ログ!$E$4:$E$1003,工数ログ!$D$4:$D$1003,$A254))</f>
        <v/>
      </c>
      <c r="M254" s="9"/>
      <c r="N254" s="9"/>
      <c r="O254" s="11"/>
      <c r="P254" s="11"/>
      <c r="Q254" s="2"/>
      <c r="R254" s="2"/>
    </row>
    <row r="255" customFormat="false" ht="15" hidden="false" customHeight="false" outlineLevel="0" collapsed="false">
      <c r="A255" s="6" t="str">
        <f aca="false">IF(D255="","",ROW()-3)</f>
        <v/>
      </c>
      <c r="B255" s="7" t="str">
        <f aca="false">IF($C255="","",IFERROR(INDEX(案件マスタ!$A$4:$A$23,MATCH($C255,案件マスタ!$B$4:$B$23,0)),"?"))</f>
        <v/>
      </c>
      <c r="C255" s="8"/>
      <c r="D255" s="9"/>
      <c r="E255" s="10"/>
      <c r="F255" s="11"/>
      <c r="G255" s="11"/>
      <c r="H255" s="10"/>
      <c r="I255" s="12"/>
      <c r="J255" s="13" t="str">
        <f aca="true">IF(D255="","",IF(H255="完了","✓ DONE",IF(G255="","⚠ NO DUE",IF(G255&lt;TODAY(),"🔴 OVERDUE",IF(G255=TODAY(),"🟡 TODAY","")))))</f>
        <v/>
      </c>
      <c r="K255" s="14"/>
      <c r="L255" s="15" t="str">
        <f aca="false">IF(A255="","",SUMIFS(工数ログ!$E$4:$E$1003,工数ログ!$D$4:$D$1003,$A255))</f>
        <v/>
      </c>
      <c r="M255" s="9"/>
      <c r="N255" s="9"/>
      <c r="O255" s="11"/>
      <c r="P255" s="11"/>
      <c r="Q255" s="2"/>
      <c r="R255" s="2"/>
    </row>
    <row r="256" customFormat="false" ht="15" hidden="false" customHeight="false" outlineLevel="0" collapsed="false">
      <c r="A256" s="6" t="str">
        <f aca="false">IF(D256="","",ROW()-3)</f>
        <v/>
      </c>
      <c r="B256" s="7" t="str">
        <f aca="false">IF($C256="","",IFERROR(INDEX(案件マスタ!$A$4:$A$23,MATCH($C256,案件マスタ!$B$4:$B$23,0)),"?"))</f>
        <v/>
      </c>
      <c r="C256" s="8"/>
      <c r="D256" s="9"/>
      <c r="E256" s="10"/>
      <c r="F256" s="11"/>
      <c r="G256" s="11"/>
      <c r="H256" s="10"/>
      <c r="I256" s="12"/>
      <c r="J256" s="13" t="str">
        <f aca="true">IF(D256="","",IF(H256="完了","✓ DONE",IF(G256="","⚠ NO DUE",IF(G256&lt;TODAY(),"🔴 OVERDUE",IF(G256=TODAY(),"🟡 TODAY","")))))</f>
        <v/>
      </c>
      <c r="K256" s="14"/>
      <c r="L256" s="15" t="str">
        <f aca="false">IF(A256="","",SUMIFS(工数ログ!$E$4:$E$1003,工数ログ!$D$4:$D$1003,$A256))</f>
        <v/>
      </c>
      <c r="M256" s="9"/>
      <c r="N256" s="9"/>
      <c r="O256" s="11"/>
      <c r="P256" s="11"/>
      <c r="Q256" s="2"/>
      <c r="R256" s="2"/>
    </row>
    <row r="257" customFormat="false" ht="15" hidden="false" customHeight="false" outlineLevel="0" collapsed="false">
      <c r="A257" s="6" t="str">
        <f aca="false">IF(D257="","",ROW()-3)</f>
        <v/>
      </c>
      <c r="B257" s="7" t="str">
        <f aca="false">IF($C257="","",IFERROR(INDEX(案件マスタ!$A$4:$A$23,MATCH($C257,案件マスタ!$B$4:$B$23,0)),"?"))</f>
        <v/>
      </c>
      <c r="C257" s="8"/>
      <c r="D257" s="9"/>
      <c r="E257" s="10"/>
      <c r="F257" s="11"/>
      <c r="G257" s="11"/>
      <c r="H257" s="10"/>
      <c r="I257" s="12"/>
      <c r="J257" s="13" t="str">
        <f aca="true">IF(D257="","",IF(H257="完了","✓ DONE",IF(G257="","⚠ NO DUE",IF(G257&lt;TODAY(),"🔴 OVERDUE",IF(G257=TODAY(),"🟡 TODAY","")))))</f>
        <v/>
      </c>
      <c r="K257" s="14"/>
      <c r="L257" s="15" t="str">
        <f aca="false">IF(A257="","",SUMIFS(工数ログ!$E$4:$E$1003,工数ログ!$D$4:$D$1003,$A257))</f>
        <v/>
      </c>
      <c r="M257" s="9"/>
      <c r="N257" s="9"/>
      <c r="O257" s="11"/>
      <c r="P257" s="11"/>
      <c r="Q257" s="2"/>
      <c r="R257" s="2"/>
    </row>
    <row r="258" customFormat="false" ht="15" hidden="false" customHeight="false" outlineLevel="0" collapsed="false">
      <c r="A258" s="6" t="str">
        <f aca="false">IF(D258="","",ROW()-3)</f>
        <v/>
      </c>
      <c r="B258" s="7" t="str">
        <f aca="false">IF($C258="","",IFERROR(INDEX(案件マスタ!$A$4:$A$23,MATCH($C258,案件マスタ!$B$4:$B$23,0)),"?"))</f>
        <v/>
      </c>
      <c r="C258" s="8"/>
      <c r="D258" s="9"/>
      <c r="E258" s="10"/>
      <c r="F258" s="11"/>
      <c r="G258" s="11"/>
      <c r="H258" s="10"/>
      <c r="I258" s="12"/>
      <c r="J258" s="13" t="str">
        <f aca="true">IF(D258="","",IF(H258="完了","✓ DONE",IF(G258="","⚠ NO DUE",IF(G258&lt;TODAY(),"🔴 OVERDUE",IF(G258=TODAY(),"🟡 TODAY","")))))</f>
        <v/>
      </c>
      <c r="K258" s="14"/>
      <c r="L258" s="15" t="str">
        <f aca="false">IF(A258="","",SUMIFS(工数ログ!$E$4:$E$1003,工数ログ!$D$4:$D$1003,$A258))</f>
        <v/>
      </c>
      <c r="M258" s="9"/>
      <c r="N258" s="9"/>
      <c r="O258" s="11"/>
      <c r="P258" s="11"/>
      <c r="Q258" s="2"/>
      <c r="R258" s="2"/>
    </row>
    <row r="259" customFormat="false" ht="15" hidden="false" customHeight="false" outlineLevel="0" collapsed="false">
      <c r="A259" s="6" t="str">
        <f aca="false">IF(D259="","",ROW()-3)</f>
        <v/>
      </c>
      <c r="B259" s="7" t="str">
        <f aca="false">IF($C259="","",IFERROR(INDEX(案件マスタ!$A$4:$A$23,MATCH($C259,案件マスタ!$B$4:$B$23,0)),"?"))</f>
        <v/>
      </c>
      <c r="C259" s="8"/>
      <c r="D259" s="9"/>
      <c r="E259" s="10"/>
      <c r="F259" s="11"/>
      <c r="G259" s="11"/>
      <c r="H259" s="10"/>
      <c r="I259" s="12"/>
      <c r="J259" s="13" t="str">
        <f aca="true">IF(D259="","",IF(H259="完了","✓ DONE",IF(G259="","⚠ NO DUE",IF(G259&lt;TODAY(),"🔴 OVERDUE",IF(G259=TODAY(),"🟡 TODAY","")))))</f>
        <v/>
      </c>
      <c r="K259" s="14"/>
      <c r="L259" s="15" t="str">
        <f aca="false">IF(A259="","",SUMIFS(工数ログ!$E$4:$E$1003,工数ログ!$D$4:$D$1003,$A259))</f>
        <v/>
      </c>
      <c r="M259" s="9"/>
      <c r="N259" s="9"/>
      <c r="O259" s="11"/>
      <c r="P259" s="11"/>
      <c r="Q259" s="2"/>
      <c r="R259" s="2"/>
    </row>
    <row r="260" customFormat="false" ht="15" hidden="false" customHeight="false" outlineLevel="0" collapsed="false">
      <c r="A260" s="6" t="str">
        <f aca="false">IF(D260="","",ROW()-3)</f>
        <v/>
      </c>
      <c r="B260" s="7" t="str">
        <f aca="false">IF($C260="","",IFERROR(INDEX(案件マスタ!$A$4:$A$23,MATCH($C260,案件マスタ!$B$4:$B$23,0)),"?"))</f>
        <v/>
      </c>
      <c r="C260" s="8"/>
      <c r="D260" s="9"/>
      <c r="E260" s="10"/>
      <c r="F260" s="11"/>
      <c r="G260" s="11"/>
      <c r="H260" s="10"/>
      <c r="I260" s="12"/>
      <c r="J260" s="13" t="str">
        <f aca="true">IF(D260="","",IF(H260="完了","✓ DONE",IF(G260="","⚠ NO DUE",IF(G260&lt;TODAY(),"🔴 OVERDUE",IF(G260=TODAY(),"🟡 TODAY","")))))</f>
        <v/>
      </c>
      <c r="K260" s="14"/>
      <c r="L260" s="15" t="str">
        <f aca="false">IF(A260="","",SUMIFS(工数ログ!$E$4:$E$1003,工数ログ!$D$4:$D$1003,$A260))</f>
        <v/>
      </c>
      <c r="M260" s="9"/>
      <c r="N260" s="9"/>
      <c r="O260" s="11"/>
      <c r="P260" s="11"/>
      <c r="Q260" s="2"/>
      <c r="R260" s="2"/>
    </row>
    <row r="261" customFormat="false" ht="15" hidden="false" customHeight="false" outlineLevel="0" collapsed="false">
      <c r="A261" s="6" t="str">
        <f aca="false">IF(D261="","",ROW()-3)</f>
        <v/>
      </c>
      <c r="B261" s="7" t="str">
        <f aca="false">IF($C261="","",IFERROR(INDEX(案件マスタ!$A$4:$A$23,MATCH($C261,案件マスタ!$B$4:$B$23,0)),"?"))</f>
        <v/>
      </c>
      <c r="C261" s="8"/>
      <c r="D261" s="9"/>
      <c r="E261" s="10"/>
      <c r="F261" s="11"/>
      <c r="G261" s="11"/>
      <c r="H261" s="10"/>
      <c r="I261" s="12"/>
      <c r="J261" s="13" t="str">
        <f aca="true">IF(D261="","",IF(H261="完了","✓ DONE",IF(G261="","⚠ NO DUE",IF(G261&lt;TODAY(),"🔴 OVERDUE",IF(G261=TODAY(),"🟡 TODAY","")))))</f>
        <v/>
      </c>
      <c r="K261" s="14"/>
      <c r="L261" s="15" t="str">
        <f aca="false">IF(A261="","",SUMIFS(工数ログ!$E$4:$E$1003,工数ログ!$D$4:$D$1003,$A261))</f>
        <v/>
      </c>
      <c r="M261" s="9"/>
      <c r="N261" s="9"/>
      <c r="O261" s="11"/>
      <c r="P261" s="11"/>
      <c r="Q261" s="2"/>
      <c r="R261" s="2"/>
    </row>
    <row r="262" customFormat="false" ht="15" hidden="false" customHeight="false" outlineLevel="0" collapsed="false">
      <c r="A262" s="6" t="str">
        <f aca="false">IF(D262="","",ROW()-3)</f>
        <v/>
      </c>
      <c r="B262" s="7" t="str">
        <f aca="false">IF($C262="","",IFERROR(INDEX(案件マスタ!$A$4:$A$23,MATCH($C262,案件マスタ!$B$4:$B$23,0)),"?"))</f>
        <v/>
      </c>
      <c r="C262" s="8"/>
      <c r="D262" s="9"/>
      <c r="E262" s="10"/>
      <c r="F262" s="11"/>
      <c r="G262" s="11"/>
      <c r="H262" s="10"/>
      <c r="I262" s="12"/>
      <c r="J262" s="13" t="str">
        <f aca="true">IF(D262="","",IF(H262="完了","✓ DONE",IF(G262="","⚠ NO DUE",IF(G262&lt;TODAY(),"🔴 OVERDUE",IF(G262=TODAY(),"🟡 TODAY","")))))</f>
        <v/>
      </c>
      <c r="K262" s="14"/>
      <c r="L262" s="15" t="str">
        <f aca="false">IF(A262="","",SUMIFS(工数ログ!$E$4:$E$1003,工数ログ!$D$4:$D$1003,$A262))</f>
        <v/>
      </c>
      <c r="M262" s="9"/>
      <c r="N262" s="9"/>
      <c r="O262" s="11"/>
      <c r="P262" s="11"/>
      <c r="Q262" s="2"/>
      <c r="R262" s="2"/>
    </row>
    <row r="263" customFormat="false" ht="15" hidden="false" customHeight="false" outlineLevel="0" collapsed="false">
      <c r="A263" s="6" t="str">
        <f aca="false">IF(D263="","",ROW()-3)</f>
        <v/>
      </c>
      <c r="B263" s="7" t="str">
        <f aca="false">IF($C263="","",IFERROR(INDEX(案件マスタ!$A$4:$A$23,MATCH($C263,案件マスタ!$B$4:$B$23,0)),"?"))</f>
        <v/>
      </c>
      <c r="C263" s="8"/>
      <c r="D263" s="9"/>
      <c r="E263" s="10"/>
      <c r="F263" s="11"/>
      <c r="G263" s="11"/>
      <c r="H263" s="10"/>
      <c r="I263" s="12"/>
      <c r="J263" s="13" t="str">
        <f aca="true">IF(D263="","",IF(H263="完了","✓ DONE",IF(G263="","⚠ NO DUE",IF(G263&lt;TODAY(),"🔴 OVERDUE",IF(G263=TODAY(),"🟡 TODAY","")))))</f>
        <v/>
      </c>
      <c r="K263" s="14"/>
      <c r="L263" s="15" t="str">
        <f aca="false">IF(A263="","",SUMIFS(工数ログ!$E$4:$E$1003,工数ログ!$D$4:$D$1003,$A263))</f>
        <v/>
      </c>
      <c r="M263" s="9"/>
      <c r="N263" s="9"/>
      <c r="O263" s="11"/>
      <c r="P263" s="11"/>
      <c r="Q263" s="2"/>
      <c r="R263" s="2"/>
    </row>
    <row r="264" customFormat="false" ht="15" hidden="false" customHeight="false" outlineLevel="0" collapsed="false">
      <c r="A264" s="6" t="str">
        <f aca="false">IF(D264="","",ROW()-3)</f>
        <v/>
      </c>
      <c r="B264" s="7" t="str">
        <f aca="false">IF($C264="","",IFERROR(INDEX(案件マスタ!$A$4:$A$23,MATCH($C264,案件マスタ!$B$4:$B$23,0)),"?"))</f>
        <v/>
      </c>
      <c r="C264" s="8"/>
      <c r="D264" s="9"/>
      <c r="E264" s="10"/>
      <c r="F264" s="11"/>
      <c r="G264" s="11"/>
      <c r="H264" s="10"/>
      <c r="I264" s="12"/>
      <c r="J264" s="13" t="str">
        <f aca="true">IF(D264="","",IF(H264="完了","✓ DONE",IF(G264="","⚠ NO DUE",IF(G264&lt;TODAY(),"🔴 OVERDUE",IF(G264=TODAY(),"🟡 TODAY","")))))</f>
        <v/>
      </c>
      <c r="K264" s="14"/>
      <c r="L264" s="15" t="str">
        <f aca="false">IF(A264="","",SUMIFS(工数ログ!$E$4:$E$1003,工数ログ!$D$4:$D$1003,$A264))</f>
        <v/>
      </c>
      <c r="M264" s="9"/>
      <c r="N264" s="9"/>
      <c r="O264" s="11"/>
      <c r="P264" s="11"/>
      <c r="Q264" s="2"/>
      <c r="R264" s="2"/>
    </row>
    <row r="265" customFormat="false" ht="15" hidden="false" customHeight="false" outlineLevel="0" collapsed="false">
      <c r="A265" s="6" t="str">
        <f aca="false">IF(D265="","",ROW()-3)</f>
        <v/>
      </c>
      <c r="B265" s="7" t="str">
        <f aca="false">IF($C265="","",IFERROR(INDEX(案件マスタ!$A$4:$A$23,MATCH($C265,案件マスタ!$B$4:$B$23,0)),"?"))</f>
        <v/>
      </c>
      <c r="C265" s="8"/>
      <c r="D265" s="9"/>
      <c r="E265" s="10"/>
      <c r="F265" s="11"/>
      <c r="G265" s="11"/>
      <c r="H265" s="10"/>
      <c r="I265" s="12"/>
      <c r="J265" s="13" t="str">
        <f aca="true">IF(D265="","",IF(H265="完了","✓ DONE",IF(G265="","⚠ NO DUE",IF(G265&lt;TODAY(),"🔴 OVERDUE",IF(G265=TODAY(),"🟡 TODAY","")))))</f>
        <v/>
      </c>
      <c r="K265" s="14"/>
      <c r="L265" s="15" t="str">
        <f aca="false">IF(A265="","",SUMIFS(工数ログ!$E$4:$E$1003,工数ログ!$D$4:$D$1003,$A265))</f>
        <v/>
      </c>
      <c r="M265" s="9"/>
      <c r="N265" s="9"/>
      <c r="O265" s="11"/>
      <c r="P265" s="11"/>
      <c r="Q265" s="2"/>
      <c r="R265" s="2"/>
    </row>
    <row r="266" customFormat="false" ht="15" hidden="false" customHeight="false" outlineLevel="0" collapsed="false">
      <c r="A266" s="6" t="str">
        <f aca="false">IF(D266="","",ROW()-3)</f>
        <v/>
      </c>
      <c r="B266" s="7" t="str">
        <f aca="false">IF($C266="","",IFERROR(INDEX(案件マスタ!$A$4:$A$23,MATCH($C266,案件マスタ!$B$4:$B$23,0)),"?"))</f>
        <v/>
      </c>
      <c r="C266" s="8"/>
      <c r="D266" s="9"/>
      <c r="E266" s="10"/>
      <c r="F266" s="11"/>
      <c r="G266" s="11"/>
      <c r="H266" s="10"/>
      <c r="I266" s="12"/>
      <c r="J266" s="13" t="str">
        <f aca="true">IF(D266="","",IF(H266="完了","✓ DONE",IF(G266="","⚠ NO DUE",IF(G266&lt;TODAY(),"🔴 OVERDUE",IF(G266=TODAY(),"🟡 TODAY","")))))</f>
        <v/>
      </c>
      <c r="K266" s="14"/>
      <c r="L266" s="15" t="str">
        <f aca="false">IF(A266="","",SUMIFS(工数ログ!$E$4:$E$1003,工数ログ!$D$4:$D$1003,$A266))</f>
        <v/>
      </c>
      <c r="M266" s="9"/>
      <c r="N266" s="9"/>
      <c r="O266" s="11"/>
      <c r="P266" s="11"/>
      <c r="Q266" s="2"/>
      <c r="R266" s="2"/>
    </row>
    <row r="267" customFormat="false" ht="15" hidden="false" customHeight="false" outlineLevel="0" collapsed="false">
      <c r="A267" s="6" t="str">
        <f aca="false">IF(D267="","",ROW()-3)</f>
        <v/>
      </c>
      <c r="B267" s="7" t="str">
        <f aca="false">IF($C267="","",IFERROR(INDEX(案件マスタ!$A$4:$A$23,MATCH($C267,案件マスタ!$B$4:$B$23,0)),"?"))</f>
        <v/>
      </c>
      <c r="C267" s="8"/>
      <c r="D267" s="9"/>
      <c r="E267" s="10"/>
      <c r="F267" s="11"/>
      <c r="G267" s="11"/>
      <c r="H267" s="10"/>
      <c r="I267" s="12"/>
      <c r="J267" s="13" t="str">
        <f aca="true">IF(D267="","",IF(H267="完了","✓ DONE",IF(G267="","⚠ NO DUE",IF(G267&lt;TODAY(),"🔴 OVERDUE",IF(G267=TODAY(),"🟡 TODAY","")))))</f>
        <v/>
      </c>
      <c r="K267" s="14"/>
      <c r="L267" s="15" t="str">
        <f aca="false">IF(A267="","",SUMIFS(工数ログ!$E$4:$E$1003,工数ログ!$D$4:$D$1003,$A267))</f>
        <v/>
      </c>
      <c r="M267" s="9"/>
      <c r="N267" s="9"/>
      <c r="O267" s="11"/>
      <c r="P267" s="11"/>
      <c r="Q267" s="2"/>
      <c r="R267" s="2"/>
    </row>
    <row r="268" customFormat="false" ht="15" hidden="false" customHeight="false" outlineLevel="0" collapsed="false">
      <c r="A268" s="6" t="str">
        <f aca="false">IF(D268="","",ROW()-3)</f>
        <v/>
      </c>
      <c r="B268" s="7" t="str">
        <f aca="false">IF($C268="","",IFERROR(INDEX(案件マスタ!$A$4:$A$23,MATCH($C268,案件マスタ!$B$4:$B$23,0)),"?"))</f>
        <v/>
      </c>
      <c r="C268" s="8"/>
      <c r="D268" s="9"/>
      <c r="E268" s="10"/>
      <c r="F268" s="11"/>
      <c r="G268" s="11"/>
      <c r="H268" s="10"/>
      <c r="I268" s="12"/>
      <c r="J268" s="13" t="str">
        <f aca="true">IF(D268="","",IF(H268="完了","✓ DONE",IF(G268="","⚠ NO DUE",IF(G268&lt;TODAY(),"🔴 OVERDUE",IF(G268=TODAY(),"🟡 TODAY","")))))</f>
        <v/>
      </c>
      <c r="K268" s="14"/>
      <c r="L268" s="15" t="str">
        <f aca="false">IF(A268="","",SUMIFS(工数ログ!$E$4:$E$1003,工数ログ!$D$4:$D$1003,$A268))</f>
        <v/>
      </c>
      <c r="M268" s="9"/>
      <c r="N268" s="9"/>
      <c r="O268" s="11"/>
      <c r="P268" s="11"/>
      <c r="Q268" s="2"/>
      <c r="R268" s="2"/>
    </row>
    <row r="269" customFormat="false" ht="15" hidden="false" customHeight="false" outlineLevel="0" collapsed="false">
      <c r="A269" s="6" t="str">
        <f aca="false">IF(D269="","",ROW()-3)</f>
        <v/>
      </c>
      <c r="B269" s="7" t="str">
        <f aca="false">IF($C269="","",IFERROR(INDEX(案件マスタ!$A$4:$A$23,MATCH($C269,案件マスタ!$B$4:$B$23,0)),"?"))</f>
        <v/>
      </c>
      <c r="C269" s="8"/>
      <c r="D269" s="9"/>
      <c r="E269" s="10"/>
      <c r="F269" s="11"/>
      <c r="G269" s="11"/>
      <c r="H269" s="10"/>
      <c r="I269" s="12"/>
      <c r="J269" s="13" t="str">
        <f aca="true">IF(D269="","",IF(H269="完了","✓ DONE",IF(G269="","⚠ NO DUE",IF(G269&lt;TODAY(),"🔴 OVERDUE",IF(G269=TODAY(),"🟡 TODAY","")))))</f>
        <v/>
      </c>
      <c r="K269" s="14"/>
      <c r="L269" s="15" t="str">
        <f aca="false">IF(A269="","",SUMIFS(工数ログ!$E$4:$E$1003,工数ログ!$D$4:$D$1003,$A269))</f>
        <v/>
      </c>
      <c r="M269" s="9"/>
      <c r="N269" s="9"/>
      <c r="O269" s="11"/>
      <c r="P269" s="11"/>
      <c r="Q269" s="2"/>
      <c r="R269" s="2"/>
    </row>
    <row r="270" customFormat="false" ht="15" hidden="false" customHeight="false" outlineLevel="0" collapsed="false">
      <c r="A270" s="6" t="str">
        <f aca="false">IF(D270="","",ROW()-3)</f>
        <v/>
      </c>
      <c r="B270" s="7" t="str">
        <f aca="false">IF($C270="","",IFERROR(INDEX(案件マスタ!$A$4:$A$23,MATCH($C270,案件マスタ!$B$4:$B$23,0)),"?"))</f>
        <v/>
      </c>
      <c r="C270" s="8"/>
      <c r="D270" s="9"/>
      <c r="E270" s="10"/>
      <c r="F270" s="11"/>
      <c r="G270" s="11"/>
      <c r="H270" s="10"/>
      <c r="I270" s="12"/>
      <c r="J270" s="13" t="str">
        <f aca="true">IF(D270="","",IF(H270="完了","✓ DONE",IF(G270="","⚠ NO DUE",IF(G270&lt;TODAY(),"🔴 OVERDUE",IF(G270=TODAY(),"🟡 TODAY","")))))</f>
        <v/>
      </c>
      <c r="K270" s="14"/>
      <c r="L270" s="15" t="str">
        <f aca="false">IF(A270="","",SUMIFS(工数ログ!$E$4:$E$1003,工数ログ!$D$4:$D$1003,$A270))</f>
        <v/>
      </c>
      <c r="M270" s="9"/>
      <c r="N270" s="9"/>
      <c r="O270" s="11"/>
      <c r="P270" s="11"/>
      <c r="Q270" s="2"/>
      <c r="R270" s="2"/>
    </row>
    <row r="271" customFormat="false" ht="15" hidden="false" customHeight="false" outlineLevel="0" collapsed="false">
      <c r="A271" s="6" t="str">
        <f aca="false">IF(D271="","",ROW()-3)</f>
        <v/>
      </c>
      <c r="B271" s="7" t="str">
        <f aca="false">IF($C271="","",IFERROR(INDEX(案件マスタ!$A$4:$A$23,MATCH($C271,案件マスタ!$B$4:$B$23,0)),"?"))</f>
        <v/>
      </c>
      <c r="C271" s="8"/>
      <c r="D271" s="9"/>
      <c r="E271" s="10"/>
      <c r="F271" s="11"/>
      <c r="G271" s="11"/>
      <c r="H271" s="10"/>
      <c r="I271" s="12"/>
      <c r="J271" s="13" t="str">
        <f aca="true">IF(D271="","",IF(H271="完了","✓ DONE",IF(G271="","⚠ NO DUE",IF(G271&lt;TODAY(),"🔴 OVERDUE",IF(G271=TODAY(),"🟡 TODAY","")))))</f>
        <v/>
      </c>
      <c r="K271" s="14"/>
      <c r="L271" s="15" t="str">
        <f aca="false">IF(A271="","",SUMIFS(工数ログ!$E$4:$E$1003,工数ログ!$D$4:$D$1003,$A271))</f>
        <v/>
      </c>
      <c r="M271" s="9"/>
      <c r="N271" s="9"/>
      <c r="O271" s="11"/>
      <c r="P271" s="11"/>
      <c r="Q271" s="2"/>
      <c r="R271" s="2"/>
    </row>
    <row r="272" customFormat="false" ht="15" hidden="false" customHeight="false" outlineLevel="0" collapsed="false">
      <c r="A272" s="6" t="str">
        <f aca="false">IF(D272="","",ROW()-3)</f>
        <v/>
      </c>
      <c r="B272" s="7" t="str">
        <f aca="false">IF($C272="","",IFERROR(INDEX(案件マスタ!$A$4:$A$23,MATCH($C272,案件マスタ!$B$4:$B$23,0)),"?"))</f>
        <v/>
      </c>
      <c r="C272" s="8"/>
      <c r="D272" s="9"/>
      <c r="E272" s="10"/>
      <c r="F272" s="11"/>
      <c r="G272" s="11"/>
      <c r="H272" s="10"/>
      <c r="I272" s="12"/>
      <c r="J272" s="13" t="str">
        <f aca="true">IF(D272="","",IF(H272="完了","✓ DONE",IF(G272="","⚠ NO DUE",IF(G272&lt;TODAY(),"🔴 OVERDUE",IF(G272=TODAY(),"🟡 TODAY","")))))</f>
        <v/>
      </c>
      <c r="K272" s="14"/>
      <c r="L272" s="15" t="str">
        <f aca="false">IF(A272="","",SUMIFS(工数ログ!$E$4:$E$1003,工数ログ!$D$4:$D$1003,$A272))</f>
        <v/>
      </c>
      <c r="M272" s="9"/>
      <c r="N272" s="9"/>
      <c r="O272" s="11"/>
      <c r="P272" s="11"/>
      <c r="Q272" s="2"/>
      <c r="R272" s="2"/>
    </row>
    <row r="273" customFormat="false" ht="15" hidden="false" customHeight="false" outlineLevel="0" collapsed="false">
      <c r="A273" s="6" t="str">
        <f aca="false">IF(D273="","",ROW()-3)</f>
        <v/>
      </c>
      <c r="B273" s="7" t="str">
        <f aca="false">IF($C273="","",IFERROR(INDEX(案件マスタ!$A$4:$A$23,MATCH($C273,案件マスタ!$B$4:$B$23,0)),"?"))</f>
        <v/>
      </c>
      <c r="C273" s="8"/>
      <c r="D273" s="9"/>
      <c r="E273" s="10"/>
      <c r="F273" s="11"/>
      <c r="G273" s="11"/>
      <c r="H273" s="10"/>
      <c r="I273" s="12"/>
      <c r="J273" s="13" t="str">
        <f aca="true">IF(D273="","",IF(H273="完了","✓ DONE",IF(G273="","⚠ NO DUE",IF(G273&lt;TODAY(),"🔴 OVERDUE",IF(G273=TODAY(),"🟡 TODAY","")))))</f>
        <v/>
      </c>
      <c r="K273" s="14"/>
      <c r="L273" s="15" t="str">
        <f aca="false">IF(A273="","",SUMIFS(工数ログ!$E$4:$E$1003,工数ログ!$D$4:$D$1003,$A273))</f>
        <v/>
      </c>
      <c r="M273" s="9"/>
      <c r="N273" s="9"/>
      <c r="O273" s="11"/>
      <c r="P273" s="11"/>
      <c r="Q273" s="2"/>
      <c r="R273" s="2"/>
    </row>
    <row r="274" customFormat="false" ht="15" hidden="false" customHeight="false" outlineLevel="0" collapsed="false">
      <c r="A274" s="6" t="str">
        <f aca="false">IF(D274="","",ROW()-3)</f>
        <v/>
      </c>
      <c r="B274" s="7" t="str">
        <f aca="false">IF($C274="","",IFERROR(INDEX(案件マスタ!$A$4:$A$23,MATCH($C274,案件マスタ!$B$4:$B$23,0)),"?"))</f>
        <v/>
      </c>
      <c r="C274" s="8"/>
      <c r="D274" s="9"/>
      <c r="E274" s="10"/>
      <c r="F274" s="11"/>
      <c r="G274" s="11"/>
      <c r="H274" s="10"/>
      <c r="I274" s="12"/>
      <c r="J274" s="13" t="str">
        <f aca="true">IF(D274="","",IF(H274="完了","✓ DONE",IF(G274="","⚠ NO DUE",IF(G274&lt;TODAY(),"🔴 OVERDUE",IF(G274=TODAY(),"🟡 TODAY","")))))</f>
        <v/>
      </c>
      <c r="K274" s="14"/>
      <c r="L274" s="15" t="str">
        <f aca="false">IF(A274="","",SUMIFS(工数ログ!$E$4:$E$1003,工数ログ!$D$4:$D$1003,$A274))</f>
        <v/>
      </c>
      <c r="M274" s="9"/>
      <c r="N274" s="9"/>
      <c r="O274" s="11"/>
      <c r="P274" s="11"/>
      <c r="Q274" s="2"/>
      <c r="R274" s="2"/>
    </row>
    <row r="275" customFormat="false" ht="15" hidden="false" customHeight="false" outlineLevel="0" collapsed="false">
      <c r="A275" s="6" t="str">
        <f aca="false">IF(D275="","",ROW()-3)</f>
        <v/>
      </c>
      <c r="B275" s="7" t="str">
        <f aca="false">IF($C275="","",IFERROR(INDEX(案件マスタ!$A$4:$A$23,MATCH($C275,案件マスタ!$B$4:$B$23,0)),"?"))</f>
        <v/>
      </c>
      <c r="C275" s="8"/>
      <c r="D275" s="9"/>
      <c r="E275" s="10"/>
      <c r="F275" s="11"/>
      <c r="G275" s="11"/>
      <c r="H275" s="10"/>
      <c r="I275" s="12"/>
      <c r="J275" s="13" t="str">
        <f aca="true">IF(D275="","",IF(H275="完了","✓ DONE",IF(G275="","⚠ NO DUE",IF(G275&lt;TODAY(),"🔴 OVERDUE",IF(G275=TODAY(),"🟡 TODAY","")))))</f>
        <v/>
      </c>
      <c r="K275" s="14"/>
      <c r="L275" s="15" t="str">
        <f aca="false">IF(A275="","",SUMIFS(工数ログ!$E$4:$E$1003,工数ログ!$D$4:$D$1003,$A275))</f>
        <v/>
      </c>
      <c r="M275" s="9"/>
      <c r="N275" s="9"/>
      <c r="O275" s="11"/>
      <c r="P275" s="11"/>
      <c r="Q275" s="2"/>
      <c r="R275" s="2"/>
    </row>
    <row r="276" customFormat="false" ht="15" hidden="false" customHeight="false" outlineLevel="0" collapsed="false">
      <c r="A276" s="6" t="str">
        <f aca="false">IF(D276="","",ROW()-3)</f>
        <v/>
      </c>
      <c r="B276" s="7" t="str">
        <f aca="false">IF($C276="","",IFERROR(INDEX(案件マスタ!$A$4:$A$23,MATCH($C276,案件マスタ!$B$4:$B$23,0)),"?"))</f>
        <v/>
      </c>
      <c r="C276" s="8"/>
      <c r="D276" s="9"/>
      <c r="E276" s="10"/>
      <c r="F276" s="11"/>
      <c r="G276" s="11"/>
      <c r="H276" s="10"/>
      <c r="I276" s="12"/>
      <c r="J276" s="13" t="str">
        <f aca="true">IF(D276="","",IF(H276="完了","✓ DONE",IF(G276="","⚠ NO DUE",IF(G276&lt;TODAY(),"🔴 OVERDUE",IF(G276=TODAY(),"🟡 TODAY","")))))</f>
        <v/>
      </c>
      <c r="K276" s="14"/>
      <c r="L276" s="15" t="str">
        <f aca="false">IF(A276="","",SUMIFS(工数ログ!$E$4:$E$1003,工数ログ!$D$4:$D$1003,$A276))</f>
        <v/>
      </c>
      <c r="M276" s="9"/>
      <c r="N276" s="9"/>
      <c r="O276" s="11"/>
      <c r="P276" s="11"/>
      <c r="Q276" s="2"/>
      <c r="R276" s="2"/>
    </row>
    <row r="277" customFormat="false" ht="15" hidden="false" customHeight="false" outlineLevel="0" collapsed="false">
      <c r="A277" s="6" t="str">
        <f aca="false">IF(D277="","",ROW()-3)</f>
        <v/>
      </c>
      <c r="B277" s="7" t="str">
        <f aca="false">IF($C277="","",IFERROR(INDEX(案件マスタ!$A$4:$A$23,MATCH($C277,案件マスタ!$B$4:$B$23,0)),"?"))</f>
        <v/>
      </c>
      <c r="C277" s="8"/>
      <c r="D277" s="9"/>
      <c r="E277" s="10"/>
      <c r="F277" s="11"/>
      <c r="G277" s="11"/>
      <c r="H277" s="10"/>
      <c r="I277" s="12"/>
      <c r="J277" s="13" t="str">
        <f aca="true">IF(D277="","",IF(H277="完了","✓ DONE",IF(G277="","⚠ NO DUE",IF(G277&lt;TODAY(),"🔴 OVERDUE",IF(G277=TODAY(),"🟡 TODAY","")))))</f>
        <v/>
      </c>
      <c r="K277" s="14"/>
      <c r="L277" s="15" t="str">
        <f aca="false">IF(A277="","",SUMIFS(工数ログ!$E$4:$E$1003,工数ログ!$D$4:$D$1003,$A277))</f>
        <v/>
      </c>
      <c r="M277" s="9"/>
      <c r="N277" s="9"/>
      <c r="O277" s="11"/>
      <c r="P277" s="11"/>
      <c r="Q277" s="2"/>
      <c r="R277" s="2"/>
    </row>
    <row r="278" customFormat="false" ht="15" hidden="false" customHeight="false" outlineLevel="0" collapsed="false">
      <c r="A278" s="6" t="str">
        <f aca="false">IF(D278="","",ROW()-3)</f>
        <v/>
      </c>
      <c r="B278" s="7" t="str">
        <f aca="false">IF($C278="","",IFERROR(INDEX(案件マスタ!$A$4:$A$23,MATCH($C278,案件マスタ!$B$4:$B$23,0)),"?"))</f>
        <v/>
      </c>
      <c r="C278" s="8"/>
      <c r="D278" s="9"/>
      <c r="E278" s="10"/>
      <c r="F278" s="11"/>
      <c r="G278" s="11"/>
      <c r="H278" s="10"/>
      <c r="I278" s="12"/>
      <c r="J278" s="13" t="str">
        <f aca="true">IF(D278="","",IF(H278="完了","✓ DONE",IF(G278="","⚠ NO DUE",IF(G278&lt;TODAY(),"🔴 OVERDUE",IF(G278=TODAY(),"🟡 TODAY","")))))</f>
        <v/>
      </c>
      <c r="K278" s="14"/>
      <c r="L278" s="15" t="str">
        <f aca="false">IF(A278="","",SUMIFS(工数ログ!$E$4:$E$1003,工数ログ!$D$4:$D$1003,$A278))</f>
        <v/>
      </c>
      <c r="M278" s="9"/>
      <c r="N278" s="9"/>
      <c r="O278" s="11"/>
      <c r="P278" s="11"/>
      <c r="Q278" s="2"/>
      <c r="R278" s="2"/>
    </row>
    <row r="279" customFormat="false" ht="15" hidden="false" customHeight="false" outlineLevel="0" collapsed="false">
      <c r="A279" s="6" t="str">
        <f aca="false">IF(D279="","",ROW()-3)</f>
        <v/>
      </c>
      <c r="B279" s="7" t="str">
        <f aca="false">IF($C279="","",IFERROR(INDEX(案件マスタ!$A$4:$A$23,MATCH($C279,案件マスタ!$B$4:$B$23,0)),"?"))</f>
        <v/>
      </c>
      <c r="C279" s="8"/>
      <c r="D279" s="9"/>
      <c r="E279" s="10"/>
      <c r="F279" s="11"/>
      <c r="G279" s="11"/>
      <c r="H279" s="10"/>
      <c r="I279" s="12"/>
      <c r="J279" s="13" t="str">
        <f aca="true">IF(D279="","",IF(H279="完了","✓ DONE",IF(G279="","⚠ NO DUE",IF(G279&lt;TODAY(),"🔴 OVERDUE",IF(G279=TODAY(),"🟡 TODAY","")))))</f>
        <v/>
      </c>
      <c r="K279" s="14"/>
      <c r="L279" s="15" t="str">
        <f aca="false">IF(A279="","",SUMIFS(工数ログ!$E$4:$E$1003,工数ログ!$D$4:$D$1003,$A279))</f>
        <v/>
      </c>
      <c r="M279" s="9"/>
      <c r="N279" s="9"/>
      <c r="O279" s="11"/>
      <c r="P279" s="11"/>
      <c r="Q279" s="2"/>
      <c r="R279" s="2"/>
    </row>
    <row r="280" customFormat="false" ht="15" hidden="false" customHeight="false" outlineLevel="0" collapsed="false">
      <c r="A280" s="6" t="str">
        <f aca="false">IF(D280="","",ROW()-3)</f>
        <v/>
      </c>
      <c r="B280" s="7" t="str">
        <f aca="false">IF($C280="","",IFERROR(INDEX(案件マスタ!$A$4:$A$23,MATCH($C280,案件マスタ!$B$4:$B$23,0)),"?"))</f>
        <v/>
      </c>
      <c r="C280" s="8"/>
      <c r="D280" s="9"/>
      <c r="E280" s="10"/>
      <c r="F280" s="11"/>
      <c r="G280" s="11"/>
      <c r="H280" s="10"/>
      <c r="I280" s="12"/>
      <c r="J280" s="13" t="str">
        <f aca="true">IF(D280="","",IF(H280="完了","✓ DONE",IF(G280="","⚠ NO DUE",IF(G280&lt;TODAY(),"🔴 OVERDUE",IF(G280=TODAY(),"🟡 TODAY","")))))</f>
        <v/>
      </c>
      <c r="K280" s="14"/>
      <c r="L280" s="15" t="str">
        <f aca="false">IF(A280="","",SUMIFS(工数ログ!$E$4:$E$1003,工数ログ!$D$4:$D$1003,$A280))</f>
        <v/>
      </c>
      <c r="M280" s="9"/>
      <c r="N280" s="9"/>
      <c r="O280" s="11"/>
      <c r="P280" s="11"/>
      <c r="Q280" s="2"/>
      <c r="R280" s="2"/>
    </row>
    <row r="281" customFormat="false" ht="15" hidden="false" customHeight="false" outlineLevel="0" collapsed="false">
      <c r="A281" s="6" t="str">
        <f aca="false">IF(D281="","",ROW()-3)</f>
        <v/>
      </c>
      <c r="B281" s="7" t="str">
        <f aca="false">IF($C281="","",IFERROR(INDEX(案件マスタ!$A$4:$A$23,MATCH($C281,案件マスタ!$B$4:$B$23,0)),"?"))</f>
        <v/>
      </c>
      <c r="C281" s="8"/>
      <c r="D281" s="9"/>
      <c r="E281" s="10"/>
      <c r="F281" s="11"/>
      <c r="G281" s="11"/>
      <c r="H281" s="10"/>
      <c r="I281" s="12"/>
      <c r="J281" s="13" t="str">
        <f aca="true">IF(D281="","",IF(H281="完了","✓ DONE",IF(G281="","⚠ NO DUE",IF(G281&lt;TODAY(),"🔴 OVERDUE",IF(G281=TODAY(),"🟡 TODAY","")))))</f>
        <v/>
      </c>
      <c r="K281" s="14"/>
      <c r="L281" s="15" t="str">
        <f aca="false">IF(A281="","",SUMIFS(工数ログ!$E$4:$E$1003,工数ログ!$D$4:$D$1003,$A281))</f>
        <v/>
      </c>
      <c r="M281" s="9"/>
      <c r="N281" s="9"/>
      <c r="O281" s="11"/>
      <c r="P281" s="11"/>
      <c r="Q281" s="2"/>
      <c r="R281" s="2"/>
    </row>
    <row r="282" customFormat="false" ht="15" hidden="false" customHeight="false" outlineLevel="0" collapsed="false">
      <c r="A282" s="6" t="str">
        <f aca="false">IF(D282="","",ROW()-3)</f>
        <v/>
      </c>
      <c r="B282" s="7" t="str">
        <f aca="false">IF($C282="","",IFERROR(INDEX(案件マスタ!$A$4:$A$23,MATCH($C282,案件マスタ!$B$4:$B$23,0)),"?"))</f>
        <v/>
      </c>
      <c r="C282" s="8"/>
      <c r="D282" s="9"/>
      <c r="E282" s="10"/>
      <c r="F282" s="11"/>
      <c r="G282" s="11"/>
      <c r="H282" s="10"/>
      <c r="I282" s="12"/>
      <c r="J282" s="13" t="str">
        <f aca="true">IF(D282="","",IF(H282="完了","✓ DONE",IF(G282="","⚠ NO DUE",IF(G282&lt;TODAY(),"🔴 OVERDUE",IF(G282=TODAY(),"🟡 TODAY","")))))</f>
        <v/>
      </c>
      <c r="K282" s="14"/>
      <c r="L282" s="15" t="str">
        <f aca="false">IF(A282="","",SUMIFS(工数ログ!$E$4:$E$1003,工数ログ!$D$4:$D$1003,$A282))</f>
        <v/>
      </c>
      <c r="M282" s="9"/>
      <c r="N282" s="9"/>
      <c r="O282" s="11"/>
      <c r="P282" s="11"/>
      <c r="Q282" s="2"/>
      <c r="R282" s="2"/>
    </row>
    <row r="283" customFormat="false" ht="15" hidden="false" customHeight="false" outlineLevel="0" collapsed="false">
      <c r="A283" s="6" t="str">
        <f aca="false">IF(D283="","",ROW()-3)</f>
        <v/>
      </c>
      <c r="B283" s="7" t="str">
        <f aca="false">IF($C283="","",IFERROR(INDEX(案件マスタ!$A$4:$A$23,MATCH($C283,案件マスタ!$B$4:$B$23,0)),"?"))</f>
        <v/>
      </c>
      <c r="C283" s="8"/>
      <c r="D283" s="9"/>
      <c r="E283" s="10"/>
      <c r="F283" s="11"/>
      <c r="G283" s="11"/>
      <c r="H283" s="10"/>
      <c r="I283" s="12"/>
      <c r="J283" s="13" t="str">
        <f aca="true">IF(D283="","",IF(H283="完了","✓ DONE",IF(G283="","⚠ NO DUE",IF(G283&lt;TODAY(),"🔴 OVERDUE",IF(G283=TODAY(),"🟡 TODAY","")))))</f>
        <v/>
      </c>
      <c r="K283" s="14"/>
      <c r="L283" s="15" t="str">
        <f aca="false">IF(A283="","",SUMIFS(工数ログ!$E$4:$E$1003,工数ログ!$D$4:$D$1003,$A283))</f>
        <v/>
      </c>
      <c r="M283" s="9"/>
      <c r="N283" s="9"/>
      <c r="O283" s="11"/>
      <c r="P283" s="11"/>
      <c r="Q283" s="2"/>
      <c r="R283" s="2"/>
    </row>
    <row r="284" customFormat="false" ht="15" hidden="false" customHeight="false" outlineLevel="0" collapsed="false">
      <c r="A284" s="6" t="str">
        <f aca="false">IF(D284="","",ROW()-3)</f>
        <v/>
      </c>
      <c r="B284" s="7" t="str">
        <f aca="false">IF($C284="","",IFERROR(INDEX(案件マスタ!$A$4:$A$23,MATCH($C284,案件マスタ!$B$4:$B$23,0)),"?"))</f>
        <v/>
      </c>
      <c r="C284" s="8"/>
      <c r="D284" s="9"/>
      <c r="E284" s="10"/>
      <c r="F284" s="11"/>
      <c r="G284" s="11"/>
      <c r="H284" s="10"/>
      <c r="I284" s="12"/>
      <c r="J284" s="13" t="str">
        <f aca="true">IF(D284="","",IF(H284="完了","✓ DONE",IF(G284="","⚠ NO DUE",IF(G284&lt;TODAY(),"🔴 OVERDUE",IF(G284=TODAY(),"🟡 TODAY","")))))</f>
        <v/>
      </c>
      <c r="K284" s="14"/>
      <c r="L284" s="15" t="str">
        <f aca="false">IF(A284="","",SUMIFS(工数ログ!$E$4:$E$1003,工数ログ!$D$4:$D$1003,$A284))</f>
        <v/>
      </c>
      <c r="M284" s="9"/>
      <c r="N284" s="9"/>
      <c r="O284" s="11"/>
      <c r="P284" s="11"/>
      <c r="Q284" s="2"/>
      <c r="R284" s="2"/>
    </row>
    <row r="285" customFormat="false" ht="15" hidden="false" customHeight="false" outlineLevel="0" collapsed="false">
      <c r="A285" s="6" t="str">
        <f aca="false">IF(D285="","",ROW()-3)</f>
        <v/>
      </c>
      <c r="B285" s="7" t="str">
        <f aca="false">IF($C285="","",IFERROR(INDEX(案件マスタ!$A$4:$A$23,MATCH($C285,案件マスタ!$B$4:$B$23,0)),"?"))</f>
        <v/>
      </c>
      <c r="C285" s="8"/>
      <c r="D285" s="9"/>
      <c r="E285" s="10"/>
      <c r="F285" s="11"/>
      <c r="G285" s="11"/>
      <c r="H285" s="10"/>
      <c r="I285" s="12"/>
      <c r="J285" s="13" t="str">
        <f aca="true">IF(D285="","",IF(H285="完了","✓ DONE",IF(G285="","⚠ NO DUE",IF(G285&lt;TODAY(),"🔴 OVERDUE",IF(G285=TODAY(),"🟡 TODAY","")))))</f>
        <v/>
      </c>
      <c r="K285" s="14"/>
      <c r="L285" s="15" t="str">
        <f aca="false">IF(A285="","",SUMIFS(工数ログ!$E$4:$E$1003,工数ログ!$D$4:$D$1003,$A285))</f>
        <v/>
      </c>
      <c r="M285" s="9"/>
      <c r="N285" s="9"/>
      <c r="O285" s="11"/>
      <c r="P285" s="11"/>
      <c r="Q285" s="2"/>
      <c r="R285" s="2"/>
    </row>
    <row r="286" customFormat="false" ht="15" hidden="false" customHeight="false" outlineLevel="0" collapsed="false">
      <c r="A286" s="6" t="str">
        <f aca="false">IF(D286="","",ROW()-3)</f>
        <v/>
      </c>
      <c r="B286" s="7" t="str">
        <f aca="false">IF($C286="","",IFERROR(INDEX(案件マスタ!$A$4:$A$23,MATCH($C286,案件マスタ!$B$4:$B$23,0)),"?"))</f>
        <v/>
      </c>
      <c r="C286" s="8"/>
      <c r="D286" s="9"/>
      <c r="E286" s="10"/>
      <c r="F286" s="11"/>
      <c r="G286" s="11"/>
      <c r="H286" s="10"/>
      <c r="I286" s="12"/>
      <c r="J286" s="13" t="str">
        <f aca="true">IF(D286="","",IF(H286="完了","✓ DONE",IF(G286="","⚠ NO DUE",IF(G286&lt;TODAY(),"🔴 OVERDUE",IF(G286=TODAY(),"🟡 TODAY","")))))</f>
        <v/>
      </c>
      <c r="K286" s="14"/>
      <c r="L286" s="15" t="str">
        <f aca="false">IF(A286="","",SUMIFS(工数ログ!$E$4:$E$1003,工数ログ!$D$4:$D$1003,$A286))</f>
        <v/>
      </c>
      <c r="M286" s="9"/>
      <c r="N286" s="9"/>
      <c r="O286" s="11"/>
      <c r="P286" s="11"/>
      <c r="Q286" s="2"/>
      <c r="R286" s="2"/>
    </row>
    <row r="287" customFormat="false" ht="15" hidden="false" customHeight="false" outlineLevel="0" collapsed="false">
      <c r="A287" s="6" t="str">
        <f aca="false">IF(D287="","",ROW()-3)</f>
        <v/>
      </c>
      <c r="B287" s="7" t="str">
        <f aca="false">IF($C287="","",IFERROR(INDEX(案件マスタ!$A$4:$A$23,MATCH($C287,案件マスタ!$B$4:$B$23,0)),"?"))</f>
        <v/>
      </c>
      <c r="C287" s="8"/>
      <c r="D287" s="9"/>
      <c r="E287" s="10"/>
      <c r="F287" s="11"/>
      <c r="G287" s="11"/>
      <c r="H287" s="10"/>
      <c r="I287" s="12"/>
      <c r="J287" s="13" t="str">
        <f aca="true">IF(D287="","",IF(H287="完了","✓ DONE",IF(G287="","⚠ NO DUE",IF(G287&lt;TODAY(),"🔴 OVERDUE",IF(G287=TODAY(),"🟡 TODAY","")))))</f>
        <v/>
      </c>
      <c r="K287" s="14"/>
      <c r="L287" s="15" t="str">
        <f aca="false">IF(A287="","",SUMIFS(工数ログ!$E$4:$E$1003,工数ログ!$D$4:$D$1003,$A287))</f>
        <v/>
      </c>
      <c r="M287" s="9"/>
      <c r="N287" s="9"/>
      <c r="O287" s="11"/>
      <c r="P287" s="11"/>
      <c r="Q287" s="2"/>
      <c r="R287" s="2"/>
    </row>
    <row r="288" customFormat="false" ht="15" hidden="false" customHeight="false" outlineLevel="0" collapsed="false">
      <c r="A288" s="6" t="str">
        <f aca="false">IF(D288="","",ROW()-3)</f>
        <v/>
      </c>
      <c r="B288" s="7" t="str">
        <f aca="false">IF($C288="","",IFERROR(INDEX(案件マスタ!$A$4:$A$23,MATCH($C288,案件マスタ!$B$4:$B$23,0)),"?"))</f>
        <v/>
      </c>
      <c r="C288" s="8"/>
      <c r="D288" s="9"/>
      <c r="E288" s="10"/>
      <c r="F288" s="11"/>
      <c r="G288" s="11"/>
      <c r="H288" s="10"/>
      <c r="I288" s="12"/>
      <c r="J288" s="13" t="str">
        <f aca="true">IF(D288="","",IF(H288="完了","✓ DONE",IF(G288="","⚠ NO DUE",IF(G288&lt;TODAY(),"🔴 OVERDUE",IF(G288=TODAY(),"🟡 TODAY","")))))</f>
        <v/>
      </c>
      <c r="K288" s="14"/>
      <c r="L288" s="15" t="str">
        <f aca="false">IF(A288="","",SUMIFS(工数ログ!$E$4:$E$1003,工数ログ!$D$4:$D$1003,$A288))</f>
        <v/>
      </c>
      <c r="M288" s="9"/>
      <c r="N288" s="9"/>
      <c r="O288" s="11"/>
      <c r="P288" s="11"/>
      <c r="Q288" s="2"/>
      <c r="R288" s="2"/>
    </row>
    <row r="289" customFormat="false" ht="15" hidden="false" customHeight="false" outlineLevel="0" collapsed="false">
      <c r="A289" s="6" t="str">
        <f aca="false">IF(D289="","",ROW()-3)</f>
        <v/>
      </c>
      <c r="B289" s="7" t="str">
        <f aca="false">IF($C289="","",IFERROR(INDEX(案件マスタ!$A$4:$A$23,MATCH($C289,案件マスタ!$B$4:$B$23,0)),"?"))</f>
        <v/>
      </c>
      <c r="C289" s="8"/>
      <c r="D289" s="9"/>
      <c r="E289" s="10"/>
      <c r="F289" s="11"/>
      <c r="G289" s="11"/>
      <c r="H289" s="10"/>
      <c r="I289" s="12"/>
      <c r="J289" s="13" t="str">
        <f aca="true">IF(D289="","",IF(H289="完了","✓ DONE",IF(G289="","⚠ NO DUE",IF(G289&lt;TODAY(),"🔴 OVERDUE",IF(G289=TODAY(),"🟡 TODAY","")))))</f>
        <v/>
      </c>
      <c r="K289" s="14"/>
      <c r="L289" s="15" t="str">
        <f aca="false">IF(A289="","",SUMIFS(工数ログ!$E$4:$E$1003,工数ログ!$D$4:$D$1003,$A289))</f>
        <v/>
      </c>
      <c r="M289" s="9"/>
      <c r="N289" s="9"/>
      <c r="O289" s="11"/>
      <c r="P289" s="11"/>
      <c r="Q289" s="2"/>
      <c r="R289" s="2"/>
    </row>
    <row r="290" customFormat="false" ht="15" hidden="false" customHeight="false" outlineLevel="0" collapsed="false">
      <c r="A290" s="6" t="str">
        <f aca="false">IF(D290="","",ROW()-3)</f>
        <v/>
      </c>
      <c r="B290" s="7" t="str">
        <f aca="false">IF($C290="","",IFERROR(INDEX(案件マスタ!$A$4:$A$23,MATCH($C290,案件マスタ!$B$4:$B$23,0)),"?"))</f>
        <v/>
      </c>
      <c r="C290" s="8"/>
      <c r="D290" s="9"/>
      <c r="E290" s="10"/>
      <c r="F290" s="11"/>
      <c r="G290" s="11"/>
      <c r="H290" s="10"/>
      <c r="I290" s="12"/>
      <c r="J290" s="13" t="str">
        <f aca="true">IF(D290="","",IF(H290="完了","✓ DONE",IF(G290="","⚠ NO DUE",IF(G290&lt;TODAY(),"🔴 OVERDUE",IF(G290=TODAY(),"🟡 TODAY","")))))</f>
        <v/>
      </c>
      <c r="K290" s="14"/>
      <c r="L290" s="15" t="str">
        <f aca="false">IF(A290="","",SUMIFS(工数ログ!$E$4:$E$1003,工数ログ!$D$4:$D$1003,$A290))</f>
        <v/>
      </c>
      <c r="M290" s="9"/>
      <c r="N290" s="9"/>
      <c r="O290" s="11"/>
      <c r="P290" s="11"/>
      <c r="Q290" s="2"/>
      <c r="R290" s="2"/>
    </row>
    <row r="291" customFormat="false" ht="15" hidden="false" customHeight="false" outlineLevel="0" collapsed="false">
      <c r="A291" s="6" t="str">
        <f aca="false">IF(D291="","",ROW()-3)</f>
        <v/>
      </c>
      <c r="B291" s="7" t="str">
        <f aca="false">IF($C291="","",IFERROR(INDEX(案件マスタ!$A$4:$A$23,MATCH($C291,案件マスタ!$B$4:$B$23,0)),"?"))</f>
        <v/>
      </c>
      <c r="C291" s="8"/>
      <c r="D291" s="9"/>
      <c r="E291" s="10"/>
      <c r="F291" s="11"/>
      <c r="G291" s="11"/>
      <c r="H291" s="10"/>
      <c r="I291" s="12"/>
      <c r="J291" s="13" t="str">
        <f aca="true">IF(D291="","",IF(H291="完了","✓ DONE",IF(G291="","⚠ NO DUE",IF(G291&lt;TODAY(),"🔴 OVERDUE",IF(G291=TODAY(),"🟡 TODAY","")))))</f>
        <v/>
      </c>
      <c r="K291" s="14"/>
      <c r="L291" s="15" t="str">
        <f aca="false">IF(A291="","",SUMIFS(工数ログ!$E$4:$E$1003,工数ログ!$D$4:$D$1003,$A291))</f>
        <v/>
      </c>
      <c r="M291" s="9"/>
      <c r="N291" s="9"/>
      <c r="O291" s="11"/>
      <c r="P291" s="11"/>
      <c r="Q291" s="2"/>
      <c r="R291" s="2"/>
    </row>
    <row r="292" customFormat="false" ht="15" hidden="false" customHeight="false" outlineLevel="0" collapsed="false">
      <c r="A292" s="6" t="str">
        <f aca="false">IF(D292="","",ROW()-3)</f>
        <v/>
      </c>
      <c r="B292" s="7" t="str">
        <f aca="false">IF($C292="","",IFERROR(INDEX(案件マスタ!$A$4:$A$23,MATCH($C292,案件マスタ!$B$4:$B$23,0)),"?"))</f>
        <v/>
      </c>
      <c r="C292" s="8"/>
      <c r="D292" s="9"/>
      <c r="E292" s="10"/>
      <c r="F292" s="11"/>
      <c r="G292" s="11"/>
      <c r="H292" s="10"/>
      <c r="I292" s="12"/>
      <c r="J292" s="13" t="str">
        <f aca="true">IF(D292="","",IF(H292="完了","✓ DONE",IF(G292="","⚠ NO DUE",IF(G292&lt;TODAY(),"🔴 OVERDUE",IF(G292=TODAY(),"🟡 TODAY","")))))</f>
        <v/>
      </c>
      <c r="K292" s="14"/>
      <c r="L292" s="15" t="str">
        <f aca="false">IF(A292="","",SUMIFS(工数ログ!$E$4:$E$1003,工数ログ!$D$4:$D$1003,$A292))</f>
        <v/>
      </c>
      <c r="M292" s="9"/>
      <c r="N292" s="9"/>
      <c r="O292" s="11"/>
      <c r="P292" s="11"/>
      <c r="Q292" s="2"/>
      <c r="R292" s="2"/>
    </row>
    <row r="293" customFormat="false" ht="15" hidden="false" customHeight="false" outlineLevel="0" collapsed="false">
      <c r="A293" s="6" t="str">
        <f aca="false">IF(D293="","",ROW()-3)</f>
        <v/>
      </c>
      <c r="B293" s="7" t="str">
        <f aca="false">IF($C293="","",IFERROR(INDEX(案件マスタ!$A$4:$A$23,MATCH($C293,案件マスタ!$B$4:$B$23,0)),"?"))</f>
        <v/>
      </c>
      <c r="C293" s="8"/>
      <c r="D293" s="9"/>
      <c r="E293" s="10"/>
      <c r="F293" s="11"/>
      <c r="G293" s="11"/>
      <c r="H293" s="10"/>
      <c r="I293" s="12"/>
      <c r="J293" s="13" t="str">
        <f aca="true">IF(D293="","",IF(H293="完了","✓ DONE",IF(G293="","⚠ NO DUE",IF(G293&lt;TODAY(),"🔴 OVERDUE",IF(G293=TODAY(),"🟡 TODAY","")))))</f>
        <v/>
      </c>
      <c r="K293" s="14"/>
      <c r="L293" s="15" t="str">
        <f aca="false">IF(A293="","",SUMIFS(工数ログ!$E$4:$E$1003,工数ログ!$D$4:$D$1003,$A293))</f>
        <v/>
      </c>
      <c r="M293" s="9"/>
      <c r="N293" s="9"/>
      <c r="O293" s="11"/>
      <c r="P293" s="11"/>
      <c r="Q293" s="2"/>
      <c r="R293" s="2"/>
    </row>
    <row r="294" customFormat="false" ht="15" hidden="false" customHeight="false" outlineLevel="0" collapsed="false">
      <c r="A294" s="6" t="str">
        <f aca="false">IF(D294="","",ROW()-3)</f>
        <v/>
      </c>
      <c r="B294" s="7" t="str">
        <f aca="false">IF($C294="","",IFERROR(INDEX(案件マスタ!$A$4:$A$23,MATCH($C294,案件マスタ!$B$4:$B$23,0)),"?"))</f>
        <v/>
      </c>
      <c r="C294" s="8"/>
      <c r="D294" s="9"/>
      <c r="E294" s="10"/>
      <c r="F294" s="11"/>
      <c r="G294" s="11"/>
      <c r="H294" s="10"/>
      <c r="I294" s="12"/>
      <c r="J294" s="13" t="str">
        <f aca="true">IF(D294="","",IF(H294="完了","✓ DONE",IF(G294="","⚠ NO DUE",IF(G294&lt;TODAY(),"🔴 OVERDUE",IF(G294=TODAY(),"🟡 TODAY","")))))</f>
        <v/>
      </c>
      <c r="K294" s="14"/>
      <c r="L294" s="15" t="str">
        <f aca="false">IF(A294="","",SUMIFS(工数ログ!$E$4:$E$1003,工数ログ!$D$4:$D$1003,$A294))</f>
        <v/>
      </c>
      <c r="M294" s="9"/>
      <c r="N294" s="9"/>
      <c r="O294" s="11"/>
      <c r="P294" s="11"/>
      <c r="Q294" s="2"/>
      <c r="R294" s="2"/>
    </row>
    <row r="295" customFormat="false" ht="15" hidden="false" customHeight="false" outlineLevel="0" collapsed="false">
      <c r="A295" s="6" t="str">
        <f aca="false">IF(D295="","",ROW()-3)</f>
        <v/>
      </c>
      <c r="B295" s="7" t="str">
        <f aca="false">IF($C295="","",IFERROR(INDEX(案件マスタ!$A$4:$A$23,MATCH($C295,案件マスタ!$B$4:$B$23,0)),"?"))</f>
        <v/>
      </c>
      <c r="C295" s="8"/>
      <c r="D295" s="9"/>
      <c r="E295" s="10"/>
      <c r="F295" s="11"/>
      <c r="G295" s="11"/>
      <c r="H295" s="10"/>
      <c r="I295" s="12"/>
      <c r="J295" s="13" t="str">
        <f aca="true">IF(D295="","",IF(H295="完了","✓ DONE",IF(G295="","⚠ NO DUE",IF(G295&lt;TODAY(),"🔴 OVERDUE",IF(G295=TODAY(),"🟡 TODAY","")))))</f>
        <v/>
      </c>
      <c r="K295" s="14"/>
      <c r="L295" s="15" t="str">
        <f aca="false">IF(A295="","",SUMIFS(工数ログ!$E$4:$E$1003,工数ログ!$D$4:$D$1003,$A295))</f>
        <v/>
      </c>
      <c r="M295" s="9"/>
      <c r="N295" s="9"/>
      <c r="O295" s="11"/>
      <c r="P295" s="11"/>
      <c r="Q295" s="2"/>
      <c r="R295" s="2"/>
    </row>
    <row r="296" customFormat="false" ht="15" hidden="false" customHeight="false" outlineLevel="0" collapsed="false">
      <c r="A296" s="6" t="str">
        <f aca="false">IF(D296="","",ROW()-3)</f>
        <v/>
      </c>
      <c r="B296" s="7" t="str">
        <f aca="false">IF($C296="","",IFERROR(INDEX(案件マスタ!$A$4:$A$23,MATCH($C296,案件マスタ!$B$4:$B$23,0)),"?"))</f>
        <v/>
      </c>
      <c r="C296" s="8"/>
      <c r="D296" s="9"/>
      <c r="E296" s="10"/>
      <c r="F296" s="11"/>
      <c r="G296" s="11"/>
      <c r="H296" s="10"/>
      <c r="I296" s="12"/>
      <c r="J296" s="13" t="str">
        <f aca="true">IF(D296="","",IF(H296="完了","✓ DONE",IF(G296="","⚠ NO DUE",IF(G296&lt;TODAY(),"🔴 OVERDUE",IF(G296=TODAY(),"🟡 TODAY","")))))</f>
        <v/>
      </c>
      <c r="K296" s="14"/>
      <c r="L296" s="15" t="str">
        <f aca="false">IF(A296="","",SUMIFS(工数ログ!$E$4:$E$1003,工数ログ!$D$4:$D$1003,$A296))</f>
        <v/>
      </c>
      <c r="M296" s="9"/>
      <c r="N296" s="9"/>
      <c r="O296" s="11"/>
      <c r="P296" s="11"/>
      <c r="Q296" s="2"/>
      <c r="R296" s="2"/>
    </row>
    <row r="297" customFormat="false" ht="15" hidden="false" customHeight="false" outlineLevel="0" collapsed="false">
      <c r="A297" s="6" t="str">
        <f aca="false">IF(D297="","",ROW()-3)</f>
        <v/>
      </c>
      <c r="B297" s="7" t="str">
        <f aca="false">IF($C297="","",IFERROR(INDEX(案件マスタ!$A$4:$A$23,MATCH($C297,案件マスタ!$B$4:$B$23,0)),"?"))</f>
        <v/>
      </c>
      <c r="C297" s="8"/>
      <c r="D297" s="9"/>
      <c r="E297" s="10"/>
      <c r="F297" s="11"/>
      <c r="G297" s="11"/>
      <c r="H297" s="10"/>
      <c r="I297" s="12"/>
      <c r="J297" s="13" t="str">
        <f aca="true">IF(D297="","",IF(H297="完了","✓ DONE",IF(G297="","⚠ NO DUE",IF(G297&lt;TODAY(),"🔴 OVERDUE",IF(G297=TODAY(),"🟡 TODAY","")))))</f>
        <v/>
      </c>
      <c r="K297" s="14"/>
      <c r="L297" s="15" t="str">
        <f aca="false">IF(A297="","",SUMIFS(工数ログ!$E$4:$E$1003,工数ログ!$D$4:$D$1003,$A297))</f>
        <v/>
      </c>
      <c r="M297" s="9"/>
      <c r="N297" s="9"/>
      <c r="O297" s="11"/>
      <c r="P297" s="11"/>
      <c r="Q297" s="2"/>
      <c r="R297" s="2"/>
    </row>
    <row r="298" customFormat="false" ht="15" hidden="false" customHeight="false" outlineLevel="0" collapsed="false">
      <c r="A298" s="6" t="str">
        <f aca="false">IF(D298="","",ROW()-3)</f>
        <v/>
      </c>
      <c r="B298" s="7" t="str">
        <f aca="false">IF($C298="","",IFERROR(INDEX(案件マスタ!$A$4:$A$23,MATCH($C298,案件マスタ!$B$4:$B$23,0)),"?"))</f>
        <v/>
      </c>
      <c r="C298" s="8"/>
      <c r="D298" s="9"/>
      <c r="E298" s="10"/>
      <c r="F298" s="11"/>
      <c r="G298" s="11"/>
      <c r="H298" s="10"/>
      <c r="I298" s="12"/>
      <c r="J298" s="13" t="str">
        <f aca="true">IF(D298="","",IF(H298="完了","✓ DONE",IF(G298="","⚠ NO DUE",IF(G298&lt;TODAY(),"🔴 OVERDUE",IF(G298=TODAY(),"🟡 TODAY","")))))</f>
        <v/>
      </c>
      <c r="K298" s="14"/>
      <c r="L298" s="15" t="str">
        <f aca="false">IF(A298="","",SUMIFS(工数ログ!$E$4:$E$1003,工数ログ!$D$4:$D$1003,$A298))</f>
        <v/>
      </c>
      <c r="M298" s="9"/>
      <c r="N298" s="9"/>
      <c r="O298" s="11"/>
      <c r="P298" s="11"/>
      <c r="Q298" s="2"/>
      <c r="R298" s="2"/>
    </row>
    <row r="299" customFormat="false" ht="15" hidden="false" customHeight="false" outlineLevel="0" collapsed="false">
      <c r="A299" s="6" t="str">
        <f aca="false">IF(D299="","",ROW()-3)</f>
        <v/>
      </c>
      <c r="B299" s="7" t="str">
        <f aca="false">IF($C299="","",IFERROR(INDEX(案件マスタ!$A$4:$A$23,MATCH($C299,案件マスタ!$B$4:$B$23,0)),"?"))</f>
        <v/>
      </c>
      <c r="C299" s="8"/>
      <c r="D299" s="9"/>
      <c r="E299" s="10"/>
      <c r="F299" s="11"/>
      <c r="G299" s="11"/>
      <c r="H299" s="10"/>
      <c r="I299" s="12"/>
      <c r="J299" s="13" t="str">
        <f aca="true">IF(D299="","",IF(H299="完了","✓ DONE",IF(G299="","⚠ NO DUE",IF(G299&lt;TODAY(),"🔴 OVERDUE",IF(G299=TODAY(),"🟡 TODAY","")))))</f>
        <v/>
      </c>
      <c r="K299" s="14"/>
      <c r="L299" s="15" t="str">
        <f aca="false">IF(A299="","",SUMIFS(工数ログ!$E$4:$E$1003,工数ログ!$D$4:$D$1003,$A299))</f>
        <v/>
      </c>
      <c r="M299" s="9"/>
      <c r="N299" s="9"/>
      <c r="O299" s="11"/>
      <c r="P299" s="11"/>
      <c r="Q299" s="2"/>
      <c r="R299" s="2"/>
    </row>
    <row r="300" customFormat="false" ht="15" hidden="false" customHeight="false" outlineLevel="0" collapsed="false">
      <c r="A300" s="6" t="str">
        <f aca="false">IF(D300="","",ROW()-3)</f>
        <v/>
      </c>
      <c r="B300" s="7" t="str">
        <f aca="false">IF($C300="","",IFERROR(INDEX(案件マスタ!$A$4:$A$23,MATCH($C300,案件マスタ!$B$4:$B$23,0)),"?"))</f>
        <v/>
      </c>
      <c r="C300" s="8"/>
      <c r="D300" s="9"/>
      <c r="E300" s="10"/>
      <c r="F300" s="11"/>
      <c r="G300" s="11"/>
      <c r="H300" s="10"/>
      <c r="I300" s="12"/>
      <c r="J300" s="13" t="str">
        <f aca="true">IF(D300="","",IF(H300="完了","✓ DONE",IF(G300="","⚠ NO DUE",IF(G300&lt;TODAY(),"🔴 OVERDUE",IF(G300=TODAY(),"🟡 TODAY","")))))</f>
        <v/>
      </c>
      <c r="K300" s="14"/>
      <c r="L300" s="15" t="str">
        <f aca="false">IF(A300="","",SUMIFS(工数ログ!$E$4:$E$1003,工数ログ!$D$4:$D$1003,$A300))</f>
        <v/>
      </c>
      <c r="M300" s="9"/>
      <c r="N300" s="9"/>
      <c r="O300" s="11"/>
      <c r="P300" s="11"/>
      <c r="Q300" s="2"/>
      <c r="R300" s="2"/>
    </row>
    <row r="301" customFormat="false" ht="15" hidden="false" customHeight="false" outlineLevel="0" collapsed="false">
      <c r="A301" s="6" t="str">
        <f aca="false">IF(D301="","",ROW()-3)</f>
        <v/>
      </c>
      <c r="B301" s="7" t="str">
        <f aca="false">IF($C301="","",IFERROR(INDEX(案件マスタ!$A$4:$A$23,MATCH($C301,案件マスタ!$B$4:$B$23,0)),"?"))</f>
        <v/>
      </c>
      <c r="C301" s="8"/>
      <c r="D301" s="9"/>
      <c r="E301" s="10"/>
      <c r="F301" s="11"/>
      <c r="G301" s="11"/>
      <c r="H301" s="10"/>
      <c r="I301" s="12"/>
      <c r="J301" s="13" t="str">
        <f aca="true">IF(D301="","",IF(H301="完了","✓ DONE",IF(G301="","⚠ NO DUE",IF(G301&lt;TODAY(),"🔴 OVERDUE",IF(G301=TODAY(),"🟡 TODAY","")))))</f>
        <v/>
      </c>
      <c r="K301" s="14"/>
      <c r="L301" s="15" t="str">
        <f aca="false">IF(A301="","",SUMIFS(工数ログ!$E$4:$E$1003,工数ログ!$D$4:$D$1003,$A301))</f>
        <v/>
      </c>
      <c r="M301" s="9"/>
      <c r="N301" s="9"/>
      <c r="O301" s="11"/>
      <c r="P301" s="11"/>
      <c r="Q301" s="2"/>
      <c r="R301" s="2"/>
    </row>
    <row r="302" customFormat="false" ht="15" hidden="false" customHeight="false" outlineLevel="0" collapsed="false">
      <c r="A302" s="6" t="str">
        <f aca="false">IF(D302="","",ROW()-3)</f>
        <v/>
      </c>
      <c r="B302" s="7" t="str">
        <f aca="false">IF($C302="","",IFERROR(INDEX(案件マスタ!$A$4:$A$23,MATCH($C302,案件マスタ!$B$4:$B$23,0)),"?"))</f>
        <v/>
      </c>
      <c r="C302" s="8"/>
      <c r="D302" s="9"/>
      <c r="E302" s="10"/>
      <c r="F302" s="11"/>
      <c r="G302" s="11"/>
      <c r="H302" s="10"/>
      <c r="I302" s="12"/>
      <c r="J302" s="13" t="str">
        <f aca="true">IF(D302="","",IF(H302="完了","✓ DONE",IF(G302="","⚠ NO DUE",IF(G302&lt;TODAY(),"🔴 OVERDUE",IF(G302=TODAY(),"🟡 TODAY","")))))</f>
        <v/>
      </c>
      <c r="K302" s="14"/>
      <c r="L302" s="15" t="str">
        <f aca="false">IF(A302="","",SUMIFS(工数ログ!$E$4:$E$1003,工数ログ!$D$4:$D$1003,$A302))</f>
        <v/>
      </c>
      <c r="M302" s="9"/>
      <c r="N302" s="9"/>
      <c r="O302" s="11"/>
      <c r="P302" s="11"/>
      <c r="Q302" s="2"/>
      <c r="R302" s="2"/>
    </row>
    <row r="303" customFormat="false" ht="15" hidden="false" customHeight="false" outlineLevel="0" collapsed="false">
      <c r="A303" s="6" t="str">
        <f aca="false">IF(D303="","",ROW()-3)</f>
        <v/>
      </c>
      <c r="B303" s="7" t="str">
        <f aca="false">IF($C303="","",IFERROR(INDEX(案件マスタ!$A$4:$A$23,MATCH($C303,案件マスタ!$B$4:$B$23,0)),"?"))</f>
        <v/>
      </c>
      <c r="C303" s="8"/>
      <c r="D303" s="9"/>
      <c r="E303" s="10"/>
      <c r="F303" s="11"/>
      <c r="G303" s="11"/>
      <c r="H303" s="10"/>
      <c r="I303" s="12"/>
      <c r="J303" s="13" t="str">
        <f aca="true">IF(D303="","",IF(H303="完了","✓ DONE",IF(G303="","⚠ NO DUE",IF(G303&lt;TODAY(),"🔴 OVERDUE",IF(G303=TODAY(),"🟡 TODAY","")))))</f>
        <v/>
      </c>
      <c r="K303" s="14"/>
      <c r="L303" s="15" t="str">
        <f aca="false">IF(A303="","",SUMIFS(工数ログ!$E$4:$E$1003,工数ログ!$D$4:$D$1003,$A303))</f>
        <v/>
      </c>
      <c r="M303" s="9"/>
      <c r="N303" s="9"/>
      <c r="O303" s="11"/>
      <c r="P303" s="11"/>
      <c r="Q303" s="2"/>
      <c r="R303" s="2"/>
    </row>
    <row r="304" customFormat="false" ht="15" hidden="false" customHeight="false" outlineLevel="0" collapsed="false">
      <c r="A304" s="6" t="str">
        <f aca="false">IF(D304="","",ROW()-3)</f>
        <v/>
      </c>
      <c r="B304" s="7" t="str">
        <f aca="false">IF($C304="","",IFERROR(INDEX(案件マスタ!$A$4:$A$23,MATCH($C304,案件マスタ!$B$4:$B$23,0)),"?"))</f>
        <v/>
      </c>
      <c r="C304" s="8"/>
      <c r="D304" s="9"/>
      <c r="E304" s="10"/>
      <c r="F304" s="11"/>
      <c r="G304" s="11"/>
      <c r="H304" s="10"/>
      <c r="I304" s="12"/>
      <c r="J304" s="13" t="str">
        <f aca="true">IF(D304="","",IF(H304="完了","✓ DONE",IF(G304="","⚠ NO DUE",IF(G304&lt;TODAY(),"🔴 OVERDUE",IF(G304=TODAY(),"🟡 TODAY","")))))</f>
        <v/>
      </c>
      <c r="K304" s="14"/>
      <c r="L304" s="15" t="str">
        <f aca="false">IF(A304="","",SUMIFS(工数ログ!$E$4:$E$1003,工数ログ!$D$4:$D$1003,$A304))</f>
        <v/>
      </c>
      <c r="M304" s="9"/>
      <c r="N304" s="9"/>
      <c r="O304" s="11"/>
      <c r="P304" s="11"/>
      <c r="Q304" s="2"/>
      <c r="R304" s="2"/>
    </row>
    <row r="305" customFormat="false" ht="15" hidden="false" customHeight="false" outlineLevel="0" collapsed="false">
      <c r="A305" s="6" t="str">
        <f aca="false">IF(D305="","",ROW()-3)</f>
        <v/>
      </c>
      <c r="B305" s="7" t="str">
        <f aca="false">IF($C305="","",IFERROR(INDEX(案件マスタ!$A$4:$A$23,MATCH($C305,案件マスタ!$B$4:$B$23,0)),"?"))</f>
        <v/>
      </c>
      <c r="C305" s="8"/>
      <c r="D305" s="9"/>
      <c r="E305" s="10"/>
      <c r="F305" s="11"/>
      <c r="G305" s="11"/>
      <c r="H305" s="10"/>
      <c r="I305" s="12"/>
      <c r="J305" s="13" t="str">
        <f aca="true">IF(D305="","",IF(H305="完了","✓ DONE",IF(G305="","⚠ NO DUE",IF(G305&lt;TODAY(),"🔴 OVERDUE",IF(G305=TODAY(),"🟡 TODAY","")))))</f>
        <v/>
      </c>
      <c r="K305" s="14"/>
      <c r="L305" s="15" t="str">
        <f aca="false">IF(A305="","",SUMIFS(工数ログ!$E$4:$E$1003,工数ログ!$D$4:$D$1003,$A305))</f>
        <v/>
      </c>
      <c r="M305" s="9"/>
      <c r="N305" s="9"/>
      <c r="O305" s="11"/>
      <c r="P305" s="11"/>
      <c r="Q305" s="2"/>
      <c r="R305" s="2"/>
    </row>
    <row r="306" customFormat="false" ht="15" hidden="false" customHeight="false" outlineLevel="0" collapsed="false">
      <c r="A306" s="6" t="str">
        <f aca="false">IF(D306="","",ROW()-3)</f>
        <v/>
      </c>
      <c r="B306" s="7" t="str">
        <f aca="false">IF($C306="","",IFERROR(INDEX(案件マスタ!$A$4:$A$23,MATCH($C306,案件マスタ!$B$4:$B$23,0)),"?"))</f>
        <v/>
      </c>
      <c r="C306" s="8"/>
      <c r="D306" s="9"/>
      <c r="E306" s="10"/>
      <c r="F306" s="11"/>
      <c r="G306" s="11"/>
      <c r="H306" s="10"/>
      <c r="I306" s="12"/>
      <c r="J306" s="13" t="str">
        <f aca="true">IF(D306="","",IF(H306="完了","✓ DONE",IF(G306="","⚠ NO DUE",IF(G306&lt;TODAY(),"🔴 OVERDUE",IF(G306=TODAY(),"🟡 TODAY","")))))</f>
        <v/>
      </c>
      <c r="K306" s="14"/>
      <c r="L306" s="15" t="str">
        <f aca="false">IF(A306="","",SUMIFS(工数ログ!$E$4:$E$1003,工数ログ!$D$4:$D$1003,$A306))</f>
        <v/>
      </c>
      <c r="M306" s="9"/>
      <c r="N306" s="9"/>
      <c r="O306" s="11"/>
      <c r="P306" s="11"/>
      <c r="Q306" s="2"/>
      <c r="R306" s="2"/>
    </row>
    <row r="307" customFormat="false" ht="15" hidden="false" customHeight="false" outlineLevel="0" collapsed="false">
      <c r="A307" s="6" t="str">
        <f aca="false">IF(D307="","",ROW()-3)</f>
        <v/>
      </c>
      <c r="B307" s="7" t="str">
        <f aca="false">IF($C307="","",IFERROR(INDEX(案件マスタ!$A$4:$A$23,MATCH($C307,案件マスタ!$B$4:$B$23,0)),"?"))</f>
        <v/>
      </c>
      <c r="C307" s="8"/>
      <c r="D307" s="9"/>
      <c r="E307" s="10"/>
      <c r="F307" s="11"/>
      <c r="G307" s="11"/>
      <c r="H307" s="10"/>
      <c r="I307" s="12"/>
      <c r="J307" s="13" t="str">
        <f aca="true">IF(D307="","",IF(H307="完了","✓ DONE",IF(G307="","⚠ NO DUE",IF(G307&lt;TODAY(),"🔴 OVERDUE",IF(G307=TODAY(),"🟡 TODAY","")))))</f>
        <v/>
      </c>
      <c r="K307" s="14"/>
      <c r="L307" s="15" t="str">
        <f aca="false">IF(A307="","",SUMIFS(工数ログ!$E$4:$E$1003,工数ログ!$D$4:$D$1003,$A307))</f>
        <v/>
      </c>
      <c r="M307" s="9"/>
      <c r="N307" s="9"/>
      <c r="O307" s="11"/>
      <c r="P307" s="11"/>
      <c r="Q307" s="2"/>
      <c r="R307" s="2"/>
    </row>
    <row r="308" customFormat="false" ht="15" hidden="false" customHeight="false" outlineLevel="0" collapsed="false">
      <c r="A308" s="6" t="str">
        <f aca="false">IF(D308="","",ROW()-3)</f>
        <v/>
      </c>
      <c r="B308" s="7" t="str">
        <f aca="false">IF($C308="","",IFERROR(INDEX(案件マスタ!$A$4:$A$23,MATCH($C308,案件マスタ!$B$4:$B$23,0)),"?"))</f>
        <v/>
      </c>
      <c r="C308" s="8"/>
      <c r="D308" s="9"/>
      <c r="E308" s="10"/>
      <c r="F308" s="11"/>
      <c r="G308" s="11"/>
      <c r="H308" s="10"/>
      <c r="I308" s="12"/>
      <c r="J308" s="13" t="str">
        <f aca="true">IF(D308="","",IF(H308="完了","✓ DONE",IF(G308="","⚠ NO DUE",IF(G308&lt;TODAY(),"🔴 OVERDUE",IF(G308=TODAY(),"🟡 TODAY","")))))</f>
        <v/>
      </c>
      <c r="K308" s="14"/>
      <c r="L308" s="15" t="str">
        <f aca="false">IF(A308="","",SUMIFS(工数ログ!$E$4:$E$1003,工数ログ!$D$4:$D$1003,$A308))</f>
        <v/>
      </c>
      <c r="M308" s="9"/>
      <c r="N308" s="9"/>
      <c r="O308" s="11"/>
      <c r="P308" s="11"/>
      <c r="Q308" s="2"/>
      <c r="R308" s="2"/>
    </row>
    <row r="309" customFormat="false" ht="15" hidden="false" customHeight="false" outlineLevel="0" collapsed="false">
      <c r="A309" s="6" t="str">
        <f aca="false">IF(D309="","",ROW()-3)</f>
        <v/>
      </c>
      <c r="B309" s="7" t="str">
        <f aca="false">IF($C309="","",IFERROR(INDEX(案件マスタ!$A$4:$A$23,MATCH($C309,案件マスタ!$B$4:$B$23,0)),"?"))</f>
        <v/>
      </c>
      <c r="C309" s="8"/>
      <c r="D309" s="9"/>
      <c r="E309" s="10"/>
      <c r="F309" s="11"/>
      <c r="G309" s="11"/>
      <c r="H309" s="10"/>
      <c r="I309" s="12"/>
      <c r="J309" s="13" t="str">
        <f aca="true">IF(D309="","",IF(H309="完了","✓ DONE",IF(G309="","⚠ NO DUE",IF(G309&lt;TODAY(),"🔴 OVERDUE",IF(G309=TODAY(),"🟡 TODAY","")))))</f>
        <v/>
      </c>
      <c r="K309" s="14"/>
      <c r="L309" s="15" t="str">
        <f aca="false">IF(A309="","",SUMIFS(工数ログ!$E$4:$E$1003,工数ログ!$D$4:$D$1003,$A309))</f>
        <v/>
      </c>
      <c r="M309" s="9"/>
      <c r="N309" s="9"/>
      <c r="O309" s="11"/>
      <c r="P309" s="11"/>
      <c r="Q309" s="2"/>
      <c r="R309" s="2"/>
    </row>
    <row r="310" customFormat="false" ht="15" hidden="false" customHeight="false" outlineLevel="0" collapsed="false">
      <c r="A310" s="6" t="str">
        <f aca="false">IF(D310="","",ROW()-3)</f>
        <v/>
      </c>
      <c r="B310" s="7" t="str">
        <f aca="false">IF($C310="","",IFERROR(INDEX(案件マスタ!$A$4:$A$23,MATCH($C310,案件マスタ!$B$4:$B$23,0)),"?"))</f>
        <v/>
      </c>
      <c r="C310" s="8"/>
      <c r="D310" s="9"/>
      <c r="E310" s="10"/>
      <c r="F310" s="11"/>
      <c r="G310" s="11"/>
      <c r="H310" s="10"/>
      <c r="I310" s="12"/>
      <c r="J310" s="13" t="str">
        <f aca="true">IF(D310="","",IF(H310="完了","✓ DONE",IF(G310="","⚠ NO DUE",IF(G310&lt;TODAY(),"🔴 OVERDUE",IF(G310=TODAY(),"🟡 TODAY","")))))</f>
        <v/>
      </c>
      <c r="K310" s="14"/>
      <c r="L310" s="15" t="str">
        <f aca="false">IF(A310="","",SUMIFS(工数ログ!$E$4:$E$1003,工数ログ!$D$4:$D$1003,$A310))</f>
        <v/>
      </c>
      <c r="M310" s="9"/>
      <c r="N310" s="9"/>
      <c r="O310" s="11"/>
      <c r="P310" s="11"/>
      <c r="Q310" s="2"/>
      <c r="R310" s="2"/>
    </row>
    <row r="311" customFormat="false" ht="15" hidden="false" customHeight="false" outlineLevel="0" collapsed="false">
      <c r="A311" s="6" t="str">
        <f aca="false">IF(D311="","",ROW()-3)</f>
        <v/>
      </c>
      <c r="B311" s="7" t="str">
        <f aca="false">IF($C311="","",IFERROR(INDEX(案件マスタ!$A$4:$A$23,MATCH($C311,案件マスタ!$B$4:$B$23,0)),"?"))</f>
        <v/>
      </c>
      <c r="C311" s="8"/>
      <c r="D311" s="9"/>
      <c r="E311" s="10"/>
      <c r="F311" s="11"/>
      <c r="G311" s="11"/>
      <c r="H311" s="10"/>
      <c r="I311" s="12"/>
      <c r="J311" s="13" t="str">
        <f aca="true">IF(D311="","",IF(H311="完了","✓ DONE",IF(G311="","⚠ NO DUE",IF(G311&lt;TODAY(),"🔴 OVERDUE",IF(G311=TODAY(),"🟡 TODAY","")))))</f>
        <v/>
      </c>
      <c r="K311" s="14"/>
      <c r="L311" s="15" t="str">
        <f aca="false">IF(A311="","",SUMIFS(工数ログ!$E$4:$E$1003,工数ログ!$D$4:$D$1003,$A311))</f>
        <v/>
      </c>
      <c r="M311" s="9"/>
      <c r="N311" s="9"/>
      <c r="O311" s="11"/>
      <c r="P311" s="11"/>
      <c r="Q311" s="2"/>
      <c r="R311" s="2"/>
    </row>
    <row r="312" customFormat="false" ht="15" hidden="false" customHeight="false" outlineLevel="0" collapsed="false">
      <c r="A312" s="6" t="str">
        <f aca="false">IF(D312="","",ROW()-3)</f>
        <v/>
      </c>
      <c r="B312" s="7" t="str">
        <f aca="false">IF($C312="","",IFERROR(INDEX(案件マスタ!$A$4:$A$23,MATCH($C312,案件マスタ!$B$4:$B$23,0)),"?"))</f>
        <v/>
      </c>
      <c r="C312" s="8"/>
      <c r="D312" s="9"/>
      <c r="E312" s="10"/>
      <c r="F312" s="11"/>
      <c r="G312" s="11"/>
      <c r="H312" s="10"/>
      <c r="I312" s="12"/>
      <c r="J312" s="13" t="str">
        <f aca="true">IF(D312="","",IF(H312="完了","✓ DONE",IF(G312="","⚠ NO DUE",IF(G312&lt;TODAY(),"🔴 OVERDUE",IF(G312=TODAY(),"🟡 TODAY","")))))</f>
        <v/>
      </c>
      <c r="K312" s="14"/>
      <c r="L312" s="15" t="str">
        <f aca="false">IF(A312="","",SUMIFS(工数ログ!$E$4:$E$1003,工数ログ!$D$4:$D$1003,$A312))</f>
        <v/>
      </c>
      <c r="M312" s="9"/>
      <c r="N312" s="9"/>
      <c r="O312" s="11"/>
      <c r="P312" s="11"/>
      <c r="Q312" s="2"/>
      <c r="R312" s="2"/>
    </row>
    <row r="313" customFormat="false" ht="15" hidden="false" customHeight="false" outlineLevel="0" collapsed="false">
      <c r="A313" s="6" t="str">
        <f aca="false">IF(D313="","",ROW()-3)</f>
        <v/>
      </c>
      <c r="B313" s="7" t="str">
        <f aca="false">IF($C313="","",IFERROR(INDEX(案件マスタ!$A$4:$A$23,MATCH($C313,案件マスタ!$B$4:$B$23,0)),"?"))</f>
        <v/>
      </c>
      <c r="C313" s="8"/>
      <c r="D313" s="9"/>
      <c r="E313" s="10"/>
      <c r="F313" s="11"/>
      <c r="G313" s="11"/>
      <c r="H313" s="10"/>
      <c r="I313" s="12"/>
      <c r="J313" s="13" t="str">
        <f aca="true">IF(D313="","",IF(H313="完了","✓ DONE",IF(G313="","⚠ NO DUE",IF(G313&lt;TODAY(),"🔴 OVERDUE",IF(G313=TODAY(),"🟡 TODAY","")))))</f>
        <v/>
      </c>
      <c r="K313" s="14"/>
      <c r="L313" s="15" t="str">
        <f aca="false">IF(A313="","",SUMIFS(工数ログ!$E$4:$E$1003,工数ログ!$D$4:$D$1003,$A313))</f>
        <v/>
      </c>
      <c r="M313" s="9"/>
      <c r="N313" s="9"/>
      <c r="O313" s="11"/>
      <c r="P313" s="11"/>
      <c r="Q313" s="2"/>
      <c r="R313" s="2"/>
    </row>
    <row r="314" customFormat="false" ht="15" hidden="false" customHeight="false" outlineLevel="0" collapsed="false">
      <c r="A314" s="6" t="str">
        <f aca="false">IF(D314="","",ROW()-3)</f>
        <v/>
      </c>
      <c r="B314" s="7" t="str">
        <f aca="false">IF($C314="","",IFERROR(INDEX(案件マスタ!$A$4:$A$23,MATCH($C314,案件マスタ!$B$4:$B$23,0)),"?"))</f>
        <v/>
      </c>
      <c r="C314" s="8"/>
      <c r="D314" s="9"/>
      <c r="E314" s="10"/>
      <c r="F314" s="11"/>
      <c r="G314" s="11"/>
      <c r="H314" s="10"/>
      <c r="I314" s="12"/>
      <c r="J314" s="13" t="str">
        <f aca="true">IF(D314="","",IF(H314="完了","✓ DONE",IF(G314="","⚠ NO DUE",IF(G314&lt;TODAY(),"🔴 OVERDUE",IF(G314=TODAY(),"🟡 TODAY","")))))</f>
        <v/>
      </c>
      <c r="K314" s="14"/>
      <c r="L314" s="15" t="str">
        <f aca="false">IF(A314="","",SUMIFS(工数ログ!$E$4:$E$1003,工数ログ!$D$4:$D$1003,$A314))</f>
        <v/>
      </c>
      <c r="M314" s="9"/>
      <c r="N314" s="9"/>
      <c r="O314" s="11"/>
      <c r="P314" s="11"/>
      <c r="Q314" s="2"/>
      <c r="R314" s="2"/>
    </row>
    <row r="315" customFormat="false" ht="15" hidden="false" customHeight="false" outlineLevel="0" collapsed="false">
      <c r="A315" s="6" t="str">
        <f aca="false">IF(D315="","",ROW()-3)</f>
        <v/>
      </c>
      <c r="B315" s="7" t="str">
        <f aca="false">IF($C315="","",IFERROR(INDEX(案件マスタ!$A$4:$A$23,MATCH($C315,案件マスタ!$B$4:$B$23,0)),"?"))</f>
        <v/>
      </c>
      <c r="C315" s="8"/>
      <c r="D315" s="9"/>
      <c r="E315" s="10"/>
      <c r="F315" s="11"/>
      <c r="G315" s="11"/>
      <c r="H315" s="10"/>
      <c r="I315" s="12"/>
      <c r="J315" s="13" t="str">
        <f aca="true">IF(D315="","",IF(H315="完了","✓ DONE",IF(G315="","⚠ NO DUE",IF(G315&lt;TODAY(),"🔴 OVERDUE",IF(G315=TODAY(),"🟡 TODAY","")))))</f>
        <v/>
      </c>
      <c r="K315" s="14"/>
      <c r="L315" s="15" t="str">
        <f aca="false">IF(A315="","",SUMIFS(工数ログ!$E$4:$E$1003,工数ログ!$D$4:$D$1003,$A315))</f>
        <v/>
      </c>
      <c r="M315" s="9"/>
      <c r="N315" s="9"/>
      <c r="O315" s="11"/>
      <c r="P315" s="11"/>
      <c r="Q315" s="2"/>
      <c r="R315" s="2"/>
    </row>
    <row r="316" customFormat="false" ht="15" hidden="false" customHeight="false" outlineLevel="0" collapsed="false">
      <c r="A316" s="6" t="str">
        <f aca="false">IF(D316="","",ROW()-3)</f>
        <v/>
      </c>
      <c r="B316" s="7" t="str">
        <f aca="false">IF($C316="","",IFERROR(INDEX(案件マスタ!$A$4:$A$23,MATCH($C316,案件マスタ!$B$4:$B$23,0)),"?"))</f>
        <v/>
      </c>
      <c r="C316" s="8"/>
      <c r="D316" s="9"/>
      <c r="E316" s="10"/>
      <c r="F316" s="11"/>
      <c r="G316" s="11"/>
      <c r="H316" s="10"/>
      <c r="I316" s="12"/>
      <c r="J316" s="13" t="str">
        <f aca="true">IF(D316="","",IF(H316="完了","✓ DONE",IF(G316="","⚠ NO DUE",IF(G316&lt;TODAY(),"🔴 OVERDUE",IF(G316=TODAY(),"🟡 TODAY","")))))</f>
        <v/>
      </c>
      <c r="K316" s="14"/>
      <c r="L316" s="15" t="str">
        <f aca="false">IF(A316="","",SUMIFS(工数ログ!$E$4:$E$1003,工数ログ!$D$4:$D$1003,$A316))</f>
        <v/>
      </c>
      <c r="M316" s="9"/>
      <c r="N316" s="9"/>
      <c r="O316" s="11"/>
      <c r="P316" s="11"/>
      <c r="Q316" s="2"/>
      <c r="R316" s="2"/>
    </row>
    <row r="317" customFormat="false" ht="15" hidden="false" customHeight="false" outlineLevel="0" collapsed="false">
      <c r="A317" s="6" t="str">
        <f aca="false">IF(D317="","",ROW()-3)</f>
        <v/>
      </c>
      <c r="B317" s="7" t="str">
        <f aca="false">IF($C317="","",IFERROR(INDEX(案件マスタ!$A$4:$A$23,MATCH($C317,案件マスタ!$B$4:$B$23,0)),"?"))</f>
        <v/>
      </c>
      <c r="C317" s="8"/>
      <c r="D317" s="9"/>
      <c r="E317" s="10"/>
      <c r="F317" s="11"/>
      <c r="G317" s="11"/>
      <c r="H317" s="10"/>
      <c r="I317" s="12"/>
      <c r="J317" s="13" t="str">
        <f aca="true">IF(D317="","",IF(H317="完了","✓ DONE",IF(G317="","⚠ NO DUE",IF(G317&lt;TODAY(),"🔴 OVERDUE",IF(G317=TODAY(),"🟡 TODAY","")))))</f>
        <v/>
      </c>
      <c r="K317" s="14"/>
      <c r="L317" s="15" t="str">
        <f aca="false">IF(A317="","",SUMIFS(工数ログ!$E$4:$E$1003,工数ログ!$D$4:$D$1003,$A317))</f>
        <v/>
      </c>
      <c r="M317" s="9"/>
      <c r="N317" s="9"/>
      <c r="O317" s="11"/>
      <c r="P317" s="11"/>
      <c r="Q317" s="2"/>
      <c r="R317" s="2"/>
    </row>
    <row r="318" customFormat="false" ht="15" hidden="false" customHeight="false" outlineLevel="0" collapsed="false">
      <c r="A318" s="6" t="str">
        <f aca="false">IF(D318="","",ROW()-3)</f>
        <v/>
      </c>
      <c r="B318" s="7" t="str">
        <f aca="false">IF($C318="","",IFERROR(INDEX(案件マスタ!$A$4:$A$23,MATCH($C318,案件マスタ!$B$4:$B$23,0)),"?"))</f>
        <v/>
      </c>
      <c r="C318" s="8"/>
      <c r="D318" s="9"/>
      <c r="E318" s="10"/>
      <c r="F318" s="11"/>
      <c r="G318" s="11"/>
      <c r="H318" s="10"/>
      <c r="I318" s="12"/>
      <c r="J318" s="13" t="str">
        <f aca="true">IF(D318="","",IF(H318="完了","✓ DONE",IF(G318="","⚠ NO DUE",IF(G318&lt;TODAY(),"🔴 OVERDUE",IF(G318=TODAY(),"🟡 TODAY","")))))</f>
        <v/>
      </c>
      <c r="K318" s="14"/>
      <c r="L318" s="15" t="str">
        <f aca="false">IF(A318="","",SUMIFS(工数ログ!$E$4:$E$1003,工数ログ!$D$4:$D$1003,$A318))</f>
        <v/>
      </c>
      <c r="M318" s="9"/>
      <c r="N318" s="9"/>
      <c r="O318" s="11"/>
      <c r="P318" s="11"/>
      <c r="Q318" s="2"/>
      <c r="R318" s="2"/>
    </row>
    <row r="319" customFormat="false" ht="15" hidden="false" customHeight="false" outlineLevel="0" collapsed="false">
      <c r="A319" s="6" t="str">
        <f aca="false">IF(D319="","",ROW()-3)</f>
        <v/>
      </c>
      <c r="B319" s="7" t="str">
        <f aca="false">IF($C319="","",IFERROR(INDEX(案件マスタ!$A$4:$A$23,MATCH($C319,案件マスタ!$B$4:$B$23,0)),"?"))</f>
        <v/>
      </c>
      <c r="C319" s="8"/>
      <c r="D319" s="9"/>
      <c r="E319" s="10"/>
      <c r="F319" s="11"/>
      <c r="G319" s="11"/>
      <c r="H319" s="10"/>
      <c r="I319" s="12"/>
      <c r="J319" s="13" t="str">
        <f aca="true">IF(D319="","",IF(H319="完了","✓ DONE",IF(G319="","⚠ NO DUE",IF(G319&lt;TODAY(),"🔴 OVERDUE",IF(G319=TODAY(),"🟡 TODAY","")))))</f>
        <v/>
      </c>
      <c r="K319" s="14"/>
      <c r="L319" s="15" t="str">
        <f aca="false">IF(A319="","",SUMIFS(工数ログ!$E$4:$E$1003,工数ログ!$D$4:$D$1003,$A319))</f>
        <v/>
      </c>
      <c r="M319" s="9"/>
      <c r="N319" s="9"/>
      <c r="O319" s="11"/>
      <c r="P319" s="11"/>
      <c r="Q319" s="2"/>
      <c r="R319" s="2"/>
    </row>
    <row r="320" customFormat="false" ht="15" hidden="false" customHeight="false" outlineLevel="0" collapsed="false">
      <c r="A320" s="6" t="str">
        <f aca="false">IF(D320="","",ROW()-3)</f>
        <v/>
      </c>
      <c r="B320" s="7" t="str">
        <f aca="false">IF($C320="","",IFERROR(INDEX(案件マスタ!$A$4:$A$23,MATCH($C320,案件マスタ!$B$4:$B$23,0)),"?"))</f>
        <v/>
      </c>
      <c r="C320" s="8"/>
      <c r="D320" s="9"/>
      <c r="E320" s="10"/>
      <c r="F320" s="11"/>
      <c r="G320" s="11"/>
      <c r="H320" s="10"/>
      <c r="I320" s="12"/>
      <c r="J320" s="13" t="str">
        <f aca="true">IF(D320="","",IF(H320="完了","✓ DONE",IF(G320="","⚠ NO DUE",IF(G320&lt;TODAY(),"🔴 OVERDUE",IF(G320=TODAY(),"🟡 TODAY","")))))</f>
        <v/>
      </c>
      <c r="K320" s="14"/>
      <c r="L320" s="15" t="str">
        <f aca="false">IF(A320="","",SUMIFS(工数ログ!$E$4:$E$1003,工数ログ!$D$4:$D$1003,$A320))</f>
        <v/>
      </c>
      <c r="M320" s="9"/>
      <c r="N320" s="9"/>
      <c r="O320" s="11"/>
      <c r="P320" s="11"/>
      <c r="Q320" s="2"/>
      <c r="R320" s="2"/>
    </row>
    <row r="321" customFormat="false" ht="15" hidden="false" customHeight="false" outlineLevel="0" collapsed="false">
      <c r="A321" s="6" t="str">
        <f aca="false">IF(D321="","",ROW()-3)</f>
        <v/>
      </c>
      <c r="B321" s="7" t="str">
        <f aca="false">IF($C321="","",IFERROR(INDEX(案件マスタ!$A$4:$A$23,MATCH($C321,案件マスタ!$B$4:$B$23,0)),"?"))</f>
        <v/>
      </c>
      <c r="C321" s="8"/>
      <c r="D321" s="9"/>
      <c r="E321" s="10"/>
      <c r="F321" s="11"/>
      <c r="G321" s="11"/>
      <c r="H321" s="10"/>
      <c r="I321" s="12"/>
      <c r="J321" s="13" t="str">
        <f aca="true">IF(D321="","",IF(H321="完了","✓ DONE",IF(G321="","⚠ NO DUE",IF(G321&lt;TODAY(),"🔴 OVERDUE",IF(G321=TODAY(),"🟡 TODAY","")))))</f>
        <v/>
      </c>
      <c r="K321" s="14"/>
      <c r="L321" s="15" t="str">
        <f aca="false">IF(A321="","",SUMIFS(工数ログ!$E$4:$E$1003,工数ログ!$D$4:$D$1003,$A321))</f>
        <v/>
      </c>
      <c r="M321" s="9"/>
      <c r="N321" s="9"/>
      <c r="O321" s="11"/>
      <c r="P321" s="11"/>
      <c r="Q321" s="2"/>
      <c r="R321" s="2"/>
    </row>
    <row r="322" customFormat="false" ht="15" hidden="false" customHeight="false" outlineLevel="0" collapsed="false">
      <c r="A322" s="6" t="str">
        <f aca="false">IF(D322="","",ROW()-3)</f>
        <v/>
      </c>
      <c r="B322" s="7" t="str">
        <f aca="false">IF($C322="","",IFERROR(INDEX(案件マスタ!$A$4:$A$23,MATCH($C322,案件マスタ!$B$4:$B$23,0)),"?"))</f>
        <v/>
      </c>
      <c r="C322" s="8"/>
      <c r="D322" s="9"/>
      <c r="E322" s="10"/>
      <c r="F322" s="11"/>
      <c r="G322" s="11"/>
      <c r="H322" s="10"/>
      <c r="I322" s="12"/>
      <c r="J322" s="13" t="str">
        <f aca="true">IF(D322="","",IF(H322="完了","✓ DONE",IF(G322="","⚠ NO DUE",IF(G322&lt;TODAY(),"🔴 OVERDUE",IF(G322=TODAY(),"🟡 TODAY","")))))</f>
        <v/>
      </c>
      <c r="K322" s="14"/>
      <c r="L322" s="15" t="str">
        <f aca="false">IF(A322="","",SUMIFS(工数ログ!$E$4:$E$1003,工数ログ!$D$4:$D$1003,$A322))</f>
        <v/>
      </c>
      <c r="M322" s="9"/>
      <c r="N322" s="9"/>
      <c r="O322" s="11"/>
      <c r="P322" s="11"/>
      <c r="Q322" s="2"/>
      <c r="R322" s="2"/>
    </row>
    <row r="323" customFormat="false" ht="15" hidden="false" customHeight="false" outlineLevel="0" collapsed="false">
      <c r="A323" s="6" t="str">
        <f aca="false">IF(D323="","",ROW()-3)</f>
        <v/>
      </c>
      <c r="B323" s="7" t="str">
        <f aca="false">IF($C323="","",IFERROR(INDEX(案件マスタ!$A$4:$A$23,MATCH($C323,案件マスタ!$B$4:$B$23,0)),"?"))</f>
        <v/>
      </c>
      <c r="C323" s="8"/>
      <c r="D323" s="9"/>
      <c r="E323" s="10"/>
      <c r="F323" s="11"/>
      <c r="G323" s="11"/>
      <c r="H323" s="10"/>
      <c r="I323" s="12"/>
      <c r="J323" s="13" t="str">
        <f aca="true">IF(D323="","",IF(H323="完了","✓ DONE",IF(G323="","⚠ NO DUE",IF(G323&lt;TODAY(),"🔴 OVERDUE",IF(G323=TODAY(),"🟡 TODAY","")))))</f>
        <v/>
      </c>
      <c r="K323" s="14"/>
      <c r="L323" s="15" t="str">
        <f aca="false">IF(A323="","",SUMIFS(工数ログ!$E$4:$E$1003,工数ログ!$D$4:$D$1003,$A323))</f>
        <v/>
      </c>
      <c r="M323" s="9"/>
      <c r="N323" s="9"/>
      <c r="O323" s="11"/>
      <c r="P323" s="11"/>
      <c r="Q323" s="2"/>
      <c r="R323" s="2"/>
    </row>
    <row r="324" customFormat="false" ht="15" hidden="false" customHeight="false" outlineLevel="0" collapsed="false">
      <c r="A324" s="6" t="str">
        <f aca="false">IF(D324="","",ROW()-3)</f>
        <v/>
      </c>
      <c r="B324" s="7" t="str">
        <f aca="false">IF($C324="","",IFERROR(INDEX(案件マスタ!$A$4:$A$23,MATCH($C324,案件マスタ!$B$4:$B$23,0)),"?"))</f>
        <v/>
      </c>
      <c r="C324" s="8"/>
      <c r="D324" s="9"/>
      <c r="E324" s="10"/>
      <c r="F324" s="11"/>
      <c r="G324" s="11"/>
      <c r="H324" s="10"/>
      <c r="I324" s="12"/>
      <c r="J324" s="13" t="str">
        <f aca="true">IF(D324="","",IF(H324="完了","✓ DONE",IF(G324="","⚠ NO DUE",IF(G324&lt;TODAY(),"🔴 OVERDUE",IF(G324=TODAY(),"🟡 TODAY","")))))</f>
        <v/>
      </c>
      <c r="K324" s="14"/>
      <c r="L324" s="15" t="str">
        <f aca="false">IF(A324="","",SUMIFS(工数ログ!$E$4:$E$1003,工数ログ!$D$4:$D$1003,$A324))</f>
        <v/>
      </c>
      <c r="M324" s="9"/>
      <c r="N324" s="9"/>
      <c r="O324" s="11"/>
      <c r="P324" s="11"/>
      <c r="Q324" s="2"/>
      <c r="R324" s="2"/>
    </row>
    <row r="325" customFormat="false" ht="15" hidden="false" customHeight="false" outlineLevel="0" collapsed="false">
      <c r="A325" s="6" t="str">
        <f aca="false">IF(D325="","",ROW()-3)</f>
        <v/>
      </c>
      <c r="B325" s="7" t="str">
        <f aca="false">IF($C325="","",IFERROR(INDEX(案件マスタ!$A$4:$A$23,MATCH($C325,案件マスタ!$B$4:$B$23,0)),"?"))</f>
        <v/>
      </c>
      <c r="C325" s="8"/>
      <c r="D325" s="9"/>
      <c r="E325" s="10"/>
      <c r="F325" s="11"/>
      <c r="G325" s="11"/>
      <c r="H325" s="10"/>
      <c r="I325" s="12"/>
      <c r="J325" s="13" t="str">
        <f aca="true">IF(D325="","",IF(H325="完了","✓ DONE",IF(G325="","⚠ NO DUE",IF(G325&lt;TODAY(),"🔴 OVERDUE",IF(G325=TODAY(),"🟡 TODAY","")))))</f>
        <v/>
      </c>
      <c r="K325" s="14"/>
      <c r="L325" s="15" t="str">
        <f aca="false">IF(A325="","",SUMIFS(工数ログ!$E$4:$E$1003,工数ログ!$D$4:$D$1003,$A325))</f>
        <v/>
      </c>
      <c r="M325" s="9"/>
      <c r="N325" s="9"/>
      <c r="O325" s="11"/>
      <c r="P325" s="11"/>
      <c r="Q325" s="2"/>
      <c r="R325" s="2"/>
    </row>
    <row r="326" customFormat="false" ht="15" hidden="false" customHeight="false" outlineLevel="0" collapsed="false">
      <c r="A326" s="6" t="str">
        <f aca="false">IF(D326="","",ROW()-3)</f>
        <v/>
      </c>
      <c r="B326" s="7" t="str">
        <f aca="false">IF($C326="","",IFERROR(INDEX(案件マスタ!$A$4:$A$23,MATCH($C326,案件マスタ!$B$4:$B$23,0)),"?"))</f>
        <v/>
      </c>
      <c r="C326" s="8"/>
      <c r="D326" s="9"/>
      <c r="E326" s="10"/>
      <c r="F326" s="11"/>
      <c r="G326" s="11"/>
      <c r="H326" s="10"/>
      <c r="I326" s="12"/>
      <c r="J326" s="13" t="str">
        <f aca="true">IF(D326="","",IF(H326="完了","✓ DONE",IF(G326="","⚠ NO DUE",IF(G326&lt;TODAY(),"🔴 OVERDUE",IF(G326=TODAY(),"🟡 TODAY","")))))</f>
        <v/>
      </c>
      <c r="K326" s="14"/>
      <c r="L326" s="15" t="str">
        <f aca="false">IF(A326="","",SUMIFS(工数ログ!$E$4:$E$1003,工数ログ!$D$4:$D$1003,$A326))</f>
        <v/>
      </c>
      <c r="M326" s="9"/>
      <c r="N326" s="9"/>
      <c r="O326" s="11"/>
      <c r="P326" s="11"/>
      <c r="Q326" s="2"/>
      <c r="R326" s="2"/>
    </row>
    <row r="327" customFormat="false" ht="15" hidden="false" customHeight="false" outlineLevel="0" collapsed="false">
      <c r="A327" s="6" t="str">
        <f aca="false">IF(D327="","",ROW()-3)</f>
        <v/>
      </c>
      <c r="B327" s="7" t="str">
        <f aca="false">IF($C327="","",IFERROR(INDEX(案件マスタ!$A$4:$A$23,MATCH($C327,案件マスタ!$B$4:$B$23,0)),"?"))</f>
        <v/>
      </c>
      <c r="C327" s="8"/>
      <c r="D327" s="9"/>
      <c r="E327" s="10"/>
      <c r="F327" s="11"/>
      <c r="G327" s="11"/>
      <c r="H327" s="10"/>
      <c r="I327" s="12"/>
      <c r="J327" s="13" t="str">
        <f aca="true">IF(D327="","",IF(H327="完了","✓ DONE",IF(G327="","⚠ NO DUE",IF(G327&lt;TODAY(),"🔴 OVERDUE",IF(G327=TODAY(),"🟡 TODAY","")))))</f>
        <v/>
      </c>
      <c r="K327" s="14"/>
      <c r="L327" s="15" t="str">
        <f aca="false">IF(A327="","",SUMIFS(工数ログ!$E$4:$E$1003,工数ログ!$D$4:$D$1003,$A327))</f>
        <v/>
      </c>
      <c r="M327" s="9"/>
      <c r="N327" s="9"/>
      <c r="O327" s="11"/>
      <c r="P327" s="11"/>
      <c r="Q327" s="2"/>
      <c r="R327" s="2"/>
    </row>
    <row r="328" customFormat="false" ht="15" hidden="false" customHeight="false" outlineLevel="0" collapsed="false">
      <c r="A328" s="6" t="str">
        <f aca="false">IF(D328="","",ROW()-3)</f>
        <v/>
      </c>
      <c r="B328" s="7" t="str">
        <f aca="false">IF($C328="","",IFERROR(INDEX(案件マスタ!$A$4:$A$23,MATCH($C328,案件マスタ!$B$4:$B$23,0)),"?"))</f>
        <v/>
      </c>
      <c r="C328" s="8"/>
      <c r="D328" s="9"/>
      <c r="E328" s="10"/>
      <c r="F328" s="11"/>
      <c r="G328" s="11"/>
      <c r="H328" s="10"/>
      <c r="I328" s="12"/>
      <c r="J328" s="13" t="str">
        <f aca="true">IF(D328="","",IF(H328="完了","✓ DONE",IF(G328="","⚠ NO DUE",IF(G328&lt;TODAY(),"🔴 OVERDUE",IF(G328=TODAY(),"🟡 TODAY","")))))</f>
        <v/>
      </c>
      <c r="K328" s="14"/>
      <c r="L328" s="15" t="str">
        <f aca="false">IF(A328="","",SUMIFS(工数ログ!$E$4:$E$1003,工数ログ!$D$4:$D$1003,$A328))</f>
        <v/>
      </c>
      <c r="M328" s="9"/>
      <c r="N328" s="9"/>
      <c r="O328" s="11"/>
      <c r="P328" s="11"/>
      <c r="Q328" s="2"/>
      <c r="R328" s="2"/>
    </row>
    <row r="329" customFormat="false" ht="15" hidden="false" customHeight="false" outlineLevel="0" collapsed="false">
      <c r="A329" s="6" t="str">
        <f aca="false">IF(D329="","",ROW()-3)</f>
        <v/>
      </c>
      <c r="B329" s="7" t="str">
        <f aca="false">IF($C329="","",IFERROR(INDEX(案件マスタ!$A$4:$A$23,MATCH($C329,案件マスタ!$B$4:$B$23,0)),"?"))</f>
        <v/>
      </c>
      <c r="C329" s="8"/>
      <c r="D329" s="9"/>
      <c r="E329" s="10"/>
      <c r="F329" s="11"/>
      <c r="G329" s="11"/>
      <c r="H329" s="10"/>
      <c r="I329" s="12"/>
      <c r="J329" s="13" t="str">
        <f aca="true">IF(D329="","",IF(H329="完了","✓ DONE",IF(G329="","⚠ NO DUE",IF(G329&lt;TODAY(),"🔴 OVERDUE",IF(G329=TODAY(),"🟡 TODAY","")))))</f>
        <v/>
      </c>
      <c r="K329" s="14"/>
      <c r="L329" s="15" t="str">
        <f aca="false">IF(A329="","",SUMIFS(工数ログ!$E$4:$E$1003,工数ログ!$D$4:$D$1003,$A329))</f>
        <v/>
      </c>
      <c r="M329" s="9"/>
      <c r="N329" s="9"/>
      <c r="O329" s="11"/>
      <c r="P329" s="11"/>
      <c r="Q329" s="2"/>
      <c r="R329" s="2"/>
    </row>
    <row r="330" customFormat="false" ht="15" hidden="false" customHeight="false" outlineLevel="0" collapsed="false">
      <c r="A330" s="6" t="str">
        <f aca="false">IF(D330="","",ROW()-3)</f>
        <v/>
      </c>
      <c r="B330" s="7" t="str">
        <f aca="false">IF($C330="","",IFERROR(INDEX(案件マスタ!$A$4:$A$23,MATCH($C330,案件マスタ!$B$4:$B$23,0)),"?"))</f>
        <v/>
      </c>
      <c r="C330" s="8"/>
      <c r="D330" s="9"/>
      <c r="E330" s="10"/>
      <c r="F330" s="11"/>
      <c r="G330" s="11"/>
      <c r="H330" s="10"/>
      <c r="I330" s="12"/>
      <c r="J330" s="13" t="str">
        <f aca="true">IF(D330="","",IF(H330="完了","✓ DONE",IF(G330="","⚠ NO DUE",IF(G330&lt;TODAY(),"🔴 OVERDUE",IF(G330=TODAY(),"🟡 TODAY","")))))</f>
        <v/>
      </c>
      <c r="K330" s="14"/>
      <c r="L330" s="15" t="str">
        <f aca="false">IF(A330="","",SUMIFS(工数ログ!$E$4:$E$1003,工数ログ!$D$4:$D$1003,$A330))</f>
        <v/>
      </c>
      <c r="M330" s="9"/>
      <c r="N330" s="9"/>
      <c r="O330" s="11"/>
      <c r="P330" s="11"/>
      <c r="Q330" s="2"/>
      <c r="R330" s="2"/>
    </row>
    <row r="331" customFormat="false" ht="15" hidden="false" customHeight="false" outlineLevel="0" collapsed="false">
      <c r="A331" s="6" t="str">
        <f aca="false">IF(D331="","",ROW()-3)</f>
        <v/>
      </c>
      <c r="B331" s="7" t="str">
        <f aca="false">IF($C331="","",IFERROR(INDEX(案件マスタ!$A$4:$A$23,MATCH($C331,案件マスタ!$B$4:$B$23,0)),"?"))</f>
        <v/>
      </c>
      <c r="C331" s="8"/>
      <c r="D331" s="9"/>
      <c r="E331" s="10"/>
      <c r="F331" s="11"/>
      <c r="G331" s="11"/>
      <c r="H331" s="10"/>
      <c r="I331" s="12"/>
      <c r="J331" s="13" t="str">
        <f aca="true">IF(D331="","",IF(H331="完了","✓ DONE",IF(G331="","⚠ NO DUE",IF(G331&lt;TODAY(),"🔴 OVERDUE",IF(G331=TODAY(),"🟡 TODAY","")))))</f>
        <v/>
      </c>
      <c r="K331" s="14"/>
      <c r="L331" s="15" t="str">
        <f aca="false">IF(A331="","",SUMIFS(工数ログ!$E$4:$E$1003,工数ログ!$D$4:$D$1003,$A331))</f>
        <v/>
      </c>
      <c r="M331" s="9"/>
      <c r="N331" s="9"/>
      <c r="O331" s="11"/>
      <c r="P331" s="11"/>
      <c r="Q331" s="2"/>
      <c r="R331" s="2"/>
    </row>
    <row r="332" customFormat="false" ht="15" hidden="false" customHeight="false" outlineLevel="0" collapsed="false">
      <c r="A332" s="6" t="str">
        <f aca="false">IF(D332="","",ROW()-3)</f>
        <v/>
      </c>
      <c r="B332" s="7" t="str">
        <f aca="false">IF($C332="","",IFERROR(INDEX(案件マスタ!$A$4:$A$23,MATCH($C332,案件マスタ!$B$4:$B$23,0)),"?"))</f>
        <v/>
      </c>
      <c r="C332" s="8"/>
      <c r="D332" s="9"/>
      <c r="E332" s="10"/>
      <c r="F332" s="11"/>
      <c r="G332" s="11"/>
      <c r="H332" s="10"/>
      <c r="I332" s="12"/>
      <c r="J332" s="13" t="str">
        <f aca="true">IF(D332="","",IF(H332="完了","✓ DONE",IF(G332="","⚠ NO DUE",IF(G332&lt;TODAY(),"🔴 OVERDUE",IF(G332=TODAY(),"🟡 TODAY","")))))</f>
        <v/>
      </c>
      <c r="K332" s="14"/>
      <c r="L332" s="15" t="str">
        <f aca="false">IF(A332="","",SUMIFS(工数ログ!$E$4:$E$1003,工数ログ!$D$4:$D$1003,$A332))</f>
        <v/>
      </c>
      <c r="M332" s="9"/>
      <c r="N332" s="9"/>
      <c r="O332" s="11"/>
      <c r="P332" s="11"/>
      <c r="Q332" s="2"/>
      <c r="R332" s="2"/>
    </row>
    <row r="333" customFormat="false" ht="15" hidden="false" customHeight="false" outlineLevel="0" collapsed="false">
      <c r="A333" s="6" t="str">
        <f aca="false">IF(D333="","",ROW()-3)</f>
        <v/>
      </c>
      <c r="B333" s="7" t="str">
        <f aca="false">IF($C333="","",IFERROR(INDEX(案件マスタ!$A$4:$A$23,MATCH($C333,案件マスタ!$B$4:$B$23,0)),"?"))</f>
        <v/>
      </c>
      <c r="C333" s="8"/>
      <c r="D333" s="9"/>
      <c r="E333" s="10"/>
      <c r="F333" s="11"/>
      <c r="G333" s="11"/>
      <c r="H333" s="10"/>
      <c r="I333" s="12"/>
      <c r="J333" s="13" t="str">
        <f aca="true">IF(D333="","",IF(H333="完了","✓ DONE",IF(G333="","⚠ NO DUE",IF(G333&lt;TODAY(),"🔴 OVERDUE",IF(G333=TODAY(),"🟡 TODAY","")))))</f>
        <v/>
      </c>
      <c r="K333" s="14"/>
      <c r="L333" s="15" t="str">
        <f aca="false">IF(A333="","",SUMIFS(工数ログ!$E$4:$E$1003,工数ログ!$D$4:$D$1003,$A333))</f>
        <v/>
      </c>
      <c r="M333" s="9"/>
      <c r="N333" s="9"/>
      <c r="O333" s="11"/>
      <c r="P333" s="11"/>
      <c r="Q333" s="2"/>
      <c r="R333" s="2"/>
    </row>
    <row r="334" customFormat="false" ht="15" hidden="false" customHeight="false" outlineLevel="0" collapsed="false">
      <c r="A334" s="6" t="str">
        <f aca="false">IF(D334="","",ROW()-3)</f>
        <v/>
      </c>
      <c r="B334" s="7" t="str">
        <f aca="false">IF($C334="","",IFERROR(INDEX(案件マスタ!$A$4:$A$23,MATCH($C334,案件マスタ!$B$4:$B$23,0)),"?"))</f>
        <v/>
      </c>
      <c r="C334" s="8"/>
      <c r="D334" s="9"/>
      <c r="E334" s="10"/>
      <c r="F334" s="11"/>
      <c r="G334" s="11"/>
      <c r="H334" s="10"/>
      <c r="I334" s="12"/>
      <c r="J334" s="13" t="str">
        <f aca="true">IF(D334="","",IF(H334="完了","✓ DONE",IF(G334="","⚠ NO DUE",IF(G334&lt;TODAY(),"🔴 OVERDUE",IF(G334=TODAY(),"🟡 TODAY","")))))</f>
        <v/>
      </c>
      <c r="K334" s="14"/>
      <c r="L334" s="15" t="str">
        <f aca="false">IF(A334="","",SUMIFS(工数ログ!$E$4:$E$1003,工数ログ!$D$4:$D$1003,$A334))</f>
        <v/>
      </c>
      <c r="M334" s="9"/>
      <c r="N334" s="9"/>
      <c r="O334" s="11"/>
      <c r="P334" s="11"/>
      <c r="Q334" s="2"/>
      <c r="R334" s="2"/>
    </row>
    <row r="335" customFormat="false" ht="15" hidden="false" customHeight="false" outlineLevel="0" collapsed="false">
      <c r="A335" s="6" t="str">
        <f aca="false">IF(D335="","",ROW()-3)</f>
        <v/>
      </c>
      <c r="B335" s="7" t="str">
        <f aca="false">IF($C335="","",IFERROR(INDEX(案件マスタ!$A$4:$A$23,MATCH($C335,案件マスタ!$B$4:$B$23,0)),"?"))</f>
        <v/>
      </c>
      <c r="C335" s="8"/>
      <c r="D335" s="9"/>
      <c r="E335" s="10"/>
      <c r="F335" s="11"/>
      <c r="G335" s="11"/>
      <c r="H335" s="10"/>
      <c r="I335" s="12"/>
      <c r="J335" s="13" t="str">
        <f aca="true">IF(D335="","",IF(H335="完了","✓ DONE",IF(G335="","⚠ NO DUE",IF(G335&lt;TODAY(),"🔴 OVERDUE",IF(G335=TODAY(),"🟡 TODAY","")))))</f>
        <v/>
      </c>
      <c r="K335" s="14"/>
      <c r="L335" s="15" t="str">
        <f aca="false">IF(A335="","",SUMIFS(工数ログ!$E$4:$E$1003,工数ログ!$D$4:$D$1003,$A335))</f>
        <v/>
      </c>
      <c r="M335" s="9"/>
      <c r="N335" s="9"/>
      <c r="O335" s="11"/>
      <c r="P335" s="11"/>
      <c r="Q335" s="2"/>
      <c r="R335" s="2"/>
    </row>
    <row r="336" customFormat="false" ht="15" hidden="false" customHeight="false" outlineLevel="0" collapsed="false">
      <c r="A336" s="6" t="str">
        <f aca="false">IF(D336="","",ROW()-3)</f>
        <v/>
      </c>
      <c r="B336" s="7" t="str">
        <f aca="false">IF($C336="","",IFERROR(INDEX(案件マスタ!$A$4:$A$23,MATCH($C336,案件マスタ!$B$4:$B$23,0)),"?"))</f>
        <v/>
      </c>
      <c r="C336" s="8"/>
      <c r="D336" s="9"/>
      <c r="E336" s="10"/>
      <c r="F336" s="11"/>
      <c r="G336" s="11"/>
      <c r="H336" s="10"/>
      <c r="I336" s="12"/>
      <c r="J336" s="13" t="str">
        <f aca="true">IF(D336="","",IF(H336="完了","✓ DONE",IF(G336="","⚠ NO DUE",IF(G336&lt;TODAY(),"🔴 OVERDUE",IF(G336=TODAY(),"🟡 TODAY","")))))</f>
        <v/>
      </c>
      <c r="K336" s="14"/>
      <c r="L336" s="15" t="str">
        <f aca="false">IF(A336="","",SUMIFS(工数ログ!$E$4:$E$1003,工数ログ!$D$4:$D$1003,$A336))</f>
        <v/>
      </c>
      <c r="M336" s="9"/>
      <c r="N336" s="9"/>
      <c r="O336" s="11"/>
      <c r="P336" s="11"/>
      <c r="Q336" s="2"/>
      <c r="R336" s="2"/>
    </row>
    <row r="337" customFormat="false" ht="15" hidden="false" customHeight="false" outlineLevel="0" collapsed="false">
      <c r="A337" s="6" t="str">
        <f aca="false">IF(D337="","",ROW()-3)</f>
        <v/>
      </c>
      <c r="B337" s="7" t="str">
        <f aca="false">IF($C337="","",IFERROR(INDEX(案件マスタ!$A$4:$A$23,MATCH($C337,案件マスタ!$B$4:$B$23,0)),"?"))</f>
        <v/>
      </c>
      <c r="C337" s="8"/>
      <c r="D337" s="9"/>
      <c r="E337" s="10"/>
      <c r="F337" s="11"/>
      <c r="G337" s="11"/>
      <c r="H337" s="10"/>
      <c r="I337" s="12"/>
      <c r="J337" s="13" t="str">
        <f aca="true">IF(D337="","",IF(H337="完了","✓ DONE",IF(G337="","⚠ NO DUE",IF(G337&lt;TODAY(),"🔴 OVERDUE",IF(G337=TODAY(),"🟡 TODAY","")))))</f>
        <v/>
      </c>
      <c r="K337" s="14"/>
      <c r="L337" s="15" t="str">
        <f aca="false">IF(A337="","",SUMIFS(工数ログ!$E$4:$E$1003,工数ログ!$D$4:$D$1003,$A337))</f>
        <v/>
      </c>
      <c r="M337" s="9"/>
      <c r="N337" s="9"/>
      <c r="O337" s="11"/>
      <c r="P337" s="11"/>
      <c r="Q337" s="2"/>
      <c r="R337" s="2"/>
    </row>
    <row r="338" customFormat="false" ht="15" hidden="false" customHeight="false" outlineLevel="0" collapsed="false">
      <c r="A338" s="6" t="str">
        <f aca="false">IF(D338="","",ROW()-3)</f>
        <v/>
      </c>
      <c r="B338" s="7" t="str">
        <f aca="false">IF($C338="","",IFERROR(INDEX(案件マスタ!$A$4:$A$23,MATCH($C338,案件マスタ!$B$4:$B$23,0)),"?"))</f>
        <v/>
      </c>
      <c r="C338" s="8"/>
      <c r="D338" s="9"/>
      <c r="E338" s="10"/>
      <c r="F338" s="11"/>
      <c r="G338" s="11"/>
      <c r="H338" s="10"/>
      <c r="I338" s="12"/>
      <c r="J338" s="13" t="str">
        <f aca="true">IF(D338="","",IF(H338="完了","✓ DONE",IF(G338="","⚠ NO DUE",IF(G338&lt;TODAY(),"🔴 OVERDUE",IF(G338=TODAY(),"🟡 TODAY","")))))</f>
        <v/>
      </c>
      <c r="K338" s="14"/>
      <c r="L338" s="15" t="str">
        <f aca="false">IF(A338="","",SUMIFS(工数ログ!$E$4:$E$1003,工数ログ!$D$4:$D$1003,$A338))</f>
        <v/>
      </c>
      <c r="M338" s="9"/>
      <c r="N338" s="9"/>
      <c r="O338" s="11"/>
      <c r="P338" s="11"/>
      <c r="Q338" s="2"/>
      <c r="R338" s="2"/>
    </row>
    <row r="339" customFormat="false" ht="15" hidden="false" customHeight="false" outlineLevel="0" collapsed="false">
      <c r="A339" s="6" t="str">
        <f aca="false">IF(D339="","",ROW()-3)</f>
        <v/>
      </c>
      <c r="B339" s="7" t="str">
        <f aca="false">IF($C339="","",IFERROR(INDEX(案件マスタ!$A$4:$A$23,MATCH($C339,案件マスタ!$B$4:$B$23,0)),"?"))</f>
        <v/>
      </c>
      <c r="C339" s="8"/>
      <c r="D339" s="9"/>
      <c r="E339" s="10"/>
      <c r="F339" s="11"/>
      <c r="G339" s="11"/>
      <c r="H339" s="10"/>
      <c r="I339" s="12"/>
      <c r="J339" s="13" t="str">
        <f aca="true">IF(D339="","",IF(H339="完了","✓ DONE",IF(G339="","⚠ NO DUE",IF(G339&lt;TODAY(),"🔴 OVERDUE",IF(G339=TODAY(),"🟡 TODAY","")))))</f>
        <v/>
      </c>
      <c r="K339" s="14"/>
      <c r="L339" s="15" t="str">
        <f aca="false">IF(A339="","",SUMIFS(工数ログ!$E$4:$E$1003,工数ログ!$D$4:$D$1003,$A339))</f>
        <v/>
      </c>
      <c r="M339" s="9"/>
      <c r="N339" s="9"/>
      <c r="O339" s="11"/>
      <c r="P339" s="11"/>
      <c r="Q339" s="2"/>
      <c r="R339" s="2"/>
    </row>
    <row r="340" customFormat="false" ht="15" hidden="false" customHeight="false" outlineLevel="0" collapsed="false">
      <c r="A340" s="6" t="str">
        <f aca="false">IF(D340="","",ROW()-3)</f>
        <v/>
      </c>
      <c r="B340" s="7" t="str">
        <f aca="false">IF($C340="","",IFERROR(INDEX(案件マスタ!$A$4:$A$23,MATCH($C340,案件マスタ!$B$4:$B$23,0)),"?"))</f>
        <v/>
      </c>
      <c r="C340" s="8"/>
      <c r="D340" s="9"/>
      <c r="E340" s="10"/>
      <c r="F340" s="11"/>
      <c r="G340" s="11"/>
      <c r="H340" s="10"/>
      <c r="I340" s="12"/>
      <c r="J340" s="13" t="str">
        <f aca="true">IF(D340="","",IF(H340="完了","✓ DONE",IF(G340="","⚠ NO DUE",IF(G340&lt;TODAY(),"🔴 OVERDUE",IF(G340=TODAY(),"🟡 TODAY","")))))</f>
        <v/>
      </c>
      <c r="K340" s="14"/>
      <c r="L340" s="15" t="str">
        <f aca="false">IF(A340="","",SUMIFS(工数ログ!$E$4:$E$1003,工数ログ!$D$4:$D$1003,$A340))</f>
        <v/>
      </c>
      <c r="M340" s="9"/>
      <c r="N340" s="9"/>
      <c r="O340" s="11"/>
      <c r="P340" s="11"/>
      <c r="Q340" s="2"/>
      <c r="R340" s="2"/>
    </row>
    <row r="341" customFormat="false" ht="15" hidden="false" customHeight="false" outlineLevel="0" collapsed="false">
      <c r="A341" s="6" t="str">
        <f aca="false">IF(D341="","",ROW()-3)</f>
        <v/>
      </c>
      <c r="B341" s="7" t="str">
        <f aca="false">IF($C341="","",IFERROR(INDEX(案件マスタ!$A$4:$A$23,MATCH($C341,案件マスタ!$B$4:$B$23,0)),"?"))</f>
        <v/>
      </c>
      <c r="C341" s="8"/>
      <c r="D341" s="9"/>
      <c r="E341" s="10"/>
      <c r="F341" s="11"/>
      <c r="G341" s="11"/>
      <c r="H341" s="10"/>
      <c r="I341" s="12"/>
      <c r="J341" s="13" t="str">
        <f aca="true">IF(D341="","",IF(H341="完了","✓ DONE",IF(G341="","⚠ NO DUE",IF(G341&lt;TODAY(),"🔴 OVERDUE",IF(G341=TODAY(),"🟡 TODAY","")))))</f>
        <v/>
      </c>
      <c r="K341" s="14"/>
      <c r="L341" s="15" t="str">
        <f aca="false">IF(A341="","",SUMIFS(工数ログ!$E$4:$E$1003,工数ログ!$D$4:$D$1003,$A341))</f>
        <v/>
      </c>
      <c r="M341" s="9"/>
      <c r="N341" s="9"/>
      <c r="O341" s="11"/>
      <c r="P341" s="11"/>
      <c r="Q341" s="2"/>
      <c r="R341" s="2"/>
    </row>
    <row r="342" customFormat="false" ht="15" hidden="false" customHeight="false" outlineLevel="0" collapsed="false">
      <c r="A342" s="6" t="str">
        <f aca="false">IF(D342="","",ROW()-3)</f>
        <v/>
      </c>
      <c r="B342" s="7" t="str">
        <f aca="false">IF($C342="","",IFERROR(INDEX(案件マスタ!$A$4:$A$23,MATCH($C342,案件マスタ!$B$4:$B$23,0)),"?"))</f>
        <v/>
      </c>
      <c r="C342" s="8"/>
      <c r="D342" s="9"/>
      <c r="E342" s="10"/>
      <c r="F342" s="11"/>
      <c r="G342" s="11"/>
      <c r="H342" s="10"/>
      <c r="I342" s="12"/>
      <c r="J342" s="13" t="str">
        <f aca="true">IF(D342="","",IF(H342="完了","✓ DONE",IF(G342="","⚠ NO DUE",IF(G342&lt;TODAY(),"🔴 OVERDUE",IF(G342=TODAY(),"🟡 TODAY","")))))</f>
        <v/>
      </c>
      <c r="K342" s="14"/>
      <c r="L342" s="15" t="str">
        <f aca="false">IF(A342="","",SUMIFS(工数ログ!$E$4:$E$1003,工数ログ!$D$4:$D$1003,$A342))</f>
        <v/>
      </c>
      <c r="M342" s="9"/>
      <c r="N342" s="9"/>
      <c r="O342" s="11"/>
      <c r="P342" s="11"/>
      <c r="Q342" s="2"/>
      <c r="R342" s="2"/>
    </row>
    <row r="343" customFormat="false" ht="15" hidden="false" customHeight="false" outlineLevel="0" collapsed="false">
      <c r="A343" s="6" t="str">
        <f aca="false">IF(D343="","",ROW()-3)</f>
        <v/>
      </c>
      <c r="B343" s="7" t="str">
        <f aca="false">IF($C343="","",IFERROR(INDEX(案件マスタ!$A$4:$A$23,MATCH($C343,案件マスタ!$B$4:$B$23,0)),"?"))</f>
        <v/>
      </c>
      <c r="C343" s="8"/>
      <c r="D343" s="9"/>
      <c r="E343" s="10"/>
      <c r="F343" s="11"/>
      <c r="G343" s="11"/>
      <c r="H343" s="10"/>
      <c r="I343" s="12"/>
      <c r="J343" s="13" t="str">
        <f aca="true">IF(D343="","",IF(H343="完了","✓ DONE",IF(G343="","⚠ NO DUE",IF(G343&lt;TODAY(),"🔴 OVERDUE",IF(G343=TODAY(),"🟡 TODAY","")))))</f>
        <v/>
      </c>
      <c r="K343" s="14"/>
      <c r="L343" s="15" t="str">
        <f aca="false">IF(A343="","",SUMIFS(工数ログ!$E$4:$E$1003,工数ログ!$D$4:$D$1003,$A343))</f>
        <v/>
      </c>
      <c r="M343" s="9"/>
      <c r="N343" s="9"/>
      <c r="O343" s="11"/>
      <c r="P343" s="11"/>
      <c r="Q343" s="2"/>
      <c r="R343" s="2"/>
    </row>
    <row r="344" customFormat="false" ht="15" hidden="false" customHeight="false" outlineLevel="0" collapsed="false">
      <c r="A344" s="6" t="str">
        <f aca="false">IF(D344="","",ROW()-3)</f>
        <v/>
      </c>
      <c r="B344" s="7" t="str">
        <f aca="false">IF($C344="","",IFERROR(INDEX(案件マスタ!$A$4:$A$23,MATCH($C344,案件マスタ!$B$4:$B$23,0)),"?"))</f>
        <v/>
      </c>
      <c r="C344" s="8"/>
      <c r="D344" s="9"/>
      <c r="E344" s="10"/>
      <c r="F344" s="11"/>
      <c r="G344" s="11"/>
      <c r="H344" s="10"/>
      <c r="I344" s="12"/>
      <c r="J344" s="13" t="str">
        <f aca="true">IF(D344="","",IF(H344="完了","✓ DONE",IF(G344="","⚠ NO DUE",IF(G344&lt;TODAY(),"🔴 OVERDUE",IF(G344=TODAY(),"🟡 TODAY","")))))</f>
        <v/>
      </c>
      <c r="K344" s="14"/>
      <c r="L344" s="15" t="str">
        <f aca="false">IF(A344="","",SUMIFS(工数ログ!$E$4:$E$1003,工数ログ!$D$4:$D$1003,$A344))</f>
        <v/>
      </c>
      <c r="M344" s="9"/>
      <c r="N344" s="9"/>
      <c r="O344" s="11"/>
      <c r="P344" s="11"/>
      <c r="Q344" s="2"/>
      <c r="R344" s="2"/>
    </row>
    <row r="345" customFormat="false" ht="15" hidden="false" customHeight="false" outlineLevel="0" collapsed="false">
      <c r="A345" s="6" t="str">
        <f aca="false">IF(D345="","",ROW()-3)</f>
        <v/>
      </c>
      <c r="B345" s="7" t="str">
        <f aca="false">IF($C345="","",IFERROR(INDEX(案件マスタ!$A$4:$A$23,MATCH($C345,案件マスタ!$B$4:$B$23,0)),"?"))</f>
        <v/>
      </c>
      <c r="C345" s="8"/>
      <c r="D345" s="9"/>
      <c r="E345" s="10"/>
      <c r="F345" s="11"/>
      <c r="G345" s="11"/>
      <c r="H345" s="10"/>
      <c r="I345" s="12"/>
      <c r="J345" s="13" t="str">
        <f aca="true">IF(D345="","",IF(H345="完了","✓ DONE",IF(G345="","⚠ NO DUE",IF(G345&lt;TODAY(),"🔴 OVERDUE",IF(G345=TODAY(),"🟡 TODAY","")))))</f>
        <v/>
      </c>
      <c r="K345" s="14"/>
      <c r="L345" s="15" t="str">
        <f aca="false">IF(A345="","",SUMIFS(工数ログ!$E$4:$E$1003,工数ログ!$D$4:$D$1003,$A345))</f>
        <v/>
      </c>
      <c r="M345" s="9"/>
      <c r="N345" s="9"/>
      <c r="O345" s="11"/>
      <c r="P345" s="11"/>
      <c r="Q345" s="2"/>
      <c r="R345" s="2"/>
    </row>
    <row r="346" customFormat="false" ht="15" hidden="false" customHeight="false" outlineLevel="0" collapsed="false">
      <c r="A346" s="6" t="str">
        <f aca="false">IF(D346="","",ROW()-3)</f>
        <v/>
      </c>
      <c r="B346" s="7" t="str">
        <f aca="false">IF($C346="","",IFERROR(INDEX(案件マスタ!$A$4:$A$23,MATCH($C346,案件マスタ!$B$4:$B$23,0)),"?"))</f>
        <v/>
      </c>
      <c r="C346" s="8"/>
      <c r="D346" s="9"/>
      <c r="E346" s="10"/>
      <c r="F346" s="11"/>
      <c r="G346" s="11"/>
      <c r="H346" s="10"/>
      <c r="I346" s="12"/>
      <c r="J346" s="13" t="str">
        <f aca="true">IF(D346="","",IF(H346="完了","✓ DONE",IF(G346="","⚠ NO DUE",IF(G346&lt;TODAY(),"🔴 OVERDUE",IF(G346=TODAY(),"🟡 TODAY","")))))</f>
        <v/>
      </c>
      <c r="K346" s="14"/>
      <c r="L346" s="15" t="str">
        <f aca="false">IF(A346="","",SUMIFS(工数ログ!$E$4:$E$1003,工数ログ!$D$4:$D$1003,$A346))</f>
        <v/>
      </c>
      <c r="M346" s="9"/>
      <c r="N346" s="9"/>
      <c r="O346" s="11"/>
      <c r="P346" s="11"/>
      <c r="Q346" s="2"/>
      <c r="R346" s="2"/>
    </row>
    <row r="347" customFormat="false" ht="15" hidden="false" customHeight="false" outlineLevel="0" collapsed="false">
      <c r="A347" s="6" t="str">
        <f aca="false">IF(D347="","",ROW()-3)</f>
        <v/>
      </c>
      <c r="B347" s="7" t="str">
        <f aca="false">IF($C347="","",IFERROR(INDEX(案件マスタ!$A$4:$A$23,MATCH($C347,案件マスタ!$B$4:$B$23,0)),"?"))</f>
        <v/>
      </c>
      <c r="C347" s="8"/>
      <c r="D347" s="9"/>
      <c r="E347" s="10"/>
      <c r="F347" s="11"/>
      <c r="G347" s="11"/>
      <c r="H347" s="10"/>
      <c r="I347" s="12"/>
      <c r="J347" s="13" t="str">
        <f aca="true">IF(D347="","",IF(H347="完了","✓ DONE",IF(G347="","⚠ NO DUE",IF(G347&lt;TODAY(),"🔴 OVERDUE",IF(G347=TODAY(),"🟡 TODAY","")))))</f>
        <v/>
      </c>
      <c r="K347" s="14"/>
      <c r="L347" s="15" t="str">
        <f aca="false">IF(A347="","",SUMIFS(工数ログ!$E$4:$E$1003,工数ログ!$D$4:$D$1003,$A347))</f>
        <v/>
      </c>
      <c r="M347" s="9"/>
      <c r="N347" s="9"/>
      <c r="O347" s="11"/>
      <c r="P347" s="11"/>
      <c r="Q347" s="2"/>
      <c r="R347" s="2"/>
    </row>
    <row r="348" customFormat="false" ht="15" hidden="false" customHeight="false" outlineLevel="0" collapsed="false">
      <c r="A348" s="6" t="str">
        <f aca="false">IF(D348="","",ROW()-3)</f>
        <v/>
      </c>
      <c r="B348" s="7" t="str">
        <f aca="false">IF($C348="","",IFERROR(INDEX(案件マスタ!$A$4:$A$23,MATCH($C348,案件マスタ!$B$4:$B$23,0)),"?"))</f>
        <v/>
      </c>
      <c r="C348" s="8"/>
      <c r="D348" s="9"/>
      <c r="E348" s="10"/>
      <c r="F348" s="11"/>
      <c r="G348" s="11"/>
      <c r="H348" s="10"/>
      <c r="I348" s="12"/>
      <c r="J348" s="13" t="str">
        <f aca="true">IF(D348="","",IF(H348="完了","✓ DONE",IF(G348="","⚠ NO DUE",IF(G348&lt;TODAY(),"🔴 OVERDUE",IF(G348=TODAY(),"🟡 TODAY","")))))</f>
        <v/>
      </c>
      <c r="K348" s="14"/>
      <c r="L348" s="15" t="str">
        <f aca="false">IF(A348="","",SUMIFS(工数ログ!$E$4:$E$1003,工数ログ!$D$4:$D$1003,$A348))</f>
        <v/>
      </c>
      <c r="M348" s="9"/>
      <c r="N348" s="9"/>
      <c r="O348" s="11"/>
      <c r="P348" s="11"/>
      <c r="Q348" s="2"/>
      <c r="R348" s="2"/>
    </row>
    <row r="349" customFormat="false" ht="15" hidden="false" customHeight="false" outlineLevel="0" collapsed="false">
      <c r="A349" s="6" t="str">
        <f aca="false">IF(D349="","",ROW()-3)</f>
        <v/>
      </c>
      <c r="B349" s="7" t="str">
        <f aca="false">IF($C349="","",IFERROR(INDEX(案件マスタ!$A$4:$A$23,MATCH($C349,案件マスタ!$B$4:$B$23,0)),"?"))</f>
        <v/>
      </c>
      <c r="C349" s="8"/>
      <c r="D349" s="9"/>
      <c r="E349" s="10"/>
      <c r="F349" s="11"/>
      <c r="G349" s="11"/>
      <c r="H349" s="10"/>
      <c r="I349" s="12"/>
      <c r="J349" s="13" t="str">
        <f aca="true">IF(D349="","",IF(H349="完了","✓ DONE",IF(G349="","⚠ NO DUE",IF(G349&lt;TODAY(),"🔴 OVERDUE",IF(G349=TODAY(),"🟡 TODAY","")))))</f>
        <v/>
      </c>
      <c r="K349" s="14"/>
      <c r="L349" s="15" t="str">
        <f aca="false">IF(A349="","",SUMIFS(工数ログ!$E$4:$E$1003,工数ログ!$D$4:$D$1003,$A349))</f>
        <v/>
      </c>
      <c r="M349" s="9"/>
      <c r="N349" s="9"/>
      <c r="O349" s="11"/>
      <c r="P349" s="11"/>
      <c r="Q349" s="2"/>
      <c r="R349" s="2"/>
    </row>
    <row r="350" customFormat="false" ht="15" hidden="false" customHeight="false" outlineLevel="0" collapsed="false">
      <c r="A350" s="6" t="str">
        <f aca="false">IF(D350="","",ROW()-3)</f>
        <v/>
      </c>
      <c r="B350" s="7" t="str">
        <f aca="false">IF($C350="","",IFERROR(INDEX(案件マスタ!$A$4:$A$23,MATCH($C350,案件マスタ!$B$4:$B$23,0)),"?"))</f>
        <v/>
      </c>
      <c r="C350" s="8"/>
      <c r="D350" s="9"/>
      <c r="E350" s="10"/>
      <c r="F350" s="11"/>
      <c r="G350" s="11"/>
      <c r="H350" s="10"/>
      <c r="I350" s="12"/>
      <c r="J350" s="13" t="str">
        <f aca="true">IF(D350="","",IF(H350="完了","✓ DONE",IF(G350="","⚠ NO DUE",IF(G350&lt;TODAY(),"🔴 OVERDUE",IF(G350=TODAY(),"🟡 TODAY","")))))</f>
        <v/>
      </c>
      <c r="K350" s="14"/>
      <c r="L350" s="15" t="str">
        <f aca="false">IF(A350="","",SUMIFS(工数ログ!$E$4:$E$1003,工数ログ!$D$4:$D$1003,$A350))</f>
        <v/>
      </c>
      <c r="M350" s="9"/>
      <c r="N350" s="9"/>
      <c r="O350" s="11"/>
      <c r="P350" s="11"/>
      <c r="Q350" s="2"/>
      <c r="R350" s="2"/>
    </row>
    <row r="351" customFormat="false" ht="15" hidden="false" customHeight="false" outlineLevel="0" collapsed="false">
      <c r="A351" s="6" t="str">
        <f aca="false">IF(D351="","",ROW()-3)</f>
        <v/>
      </c>
      <c r="B351" s="7" t="str">
        <f aca="false">IF($C351="","",IFERROR(INDEX(案件マスタ!$A$4:$A$23,MATCH($C351,案件マスタ!$B$4:$B$23,0)),"?"))</f>
        <v/>
      </c>
      <c r="C351" s="8"/>
      <c r="D351" s="9"/>
      <c r="E351" s="10"/>
      <c r="F351" s="11"/>
      <c r="G351" s="11"/>
      <c r="H351" s="10"/>
      <c r="I351" s="12"/>
      <c r="J351" s="13" t="str">
        <f aca="true">IF(D351="","",IF(H351="完了","✓ DONE",IF(G351="","⚠ NO DUE",IF(G351&lt;TODAY(),"🔴 OVERDUE",IF(G351=TODAY(),"🟡 TODAY","")))))</f>
        <v/>
      </c>
      <c r="K351" s="14"/>
      <c r="L351" s="15" t="str">
        <f aca="false">IF(A351="","",SUMIFS(工数ログ!$E$4:$E$1003,工数ログ!$D$4:$D$1003,$A351))</f>
        <v/>
      </c>
      <c r="M351" s="9"/>
      <c r="N351" s="9"/>
      <c r="O351" s="11"/>
      <c r="P351" s="11"/>
      <c r="Q351" s="2"/>
      <c r="R351" s="2"/>
    </row>
    <row r="352" customFormat="false" ht="15" hidden="false" customHeight="false" outlineLevel="0" collapsed="false">
      <c r="A352" s="6" t="str">
        <f aca="false">IF(D352="","",ROW()-3)</f>
        <v/>
      </c>
      <c r="B352" s="7" t="str">
        <f aca="false">IF($C352="","",IFERROR(INDEX(案件マスタ!$A$4:$A$23,MATCH($C352,案件マスタ!$B$4:$B$23,0)),"?"))</f>
        <v/>
      </c>
      <c r="C352" s="8"/>
      <c r="D352" s="9"/>
      <c r="E352" s="10"/>
      <c r="F352" s="11"/>
      <c r="G352" s="11"/>
      <c r="H352" s="10"/>
      <c r="I352" s="12"/>
      <c r="J352" s="13" t="str">
        <f aca="true">IF(D352="","",IF(H352="完了","✓ DONE",IF(G352="","⚠ NO DUE",IF(G352&lt;TODAY(),"🔴 OVERDUE",IF(G352=TODAY(),"🟡 TODAY","")))))</f>
        <v/>
      </c>
      <c r="K352" s="14"/>
      <c r="L352" s="15" t="str">
        <f aca="false">IF(A352="","",SUMIFS(工数ログ!$E$4:$E$1003,工数ログ!$D$4:$D$1003,$A352))</f>
        <v/>
      </c>
      <c r="M352" s="9"/>
      <c r="N352" s="9"/>
      <c r="O352" s="11"/>
      <c r="P352" s="11"/>
      <c r="Q352" s="2"/>
      <c r="R352" s="2"/>
    </row>
    <row r="353" customFormat="false" ht="15" hidden="false" customHeight="false" outlineLevel="0" collapsed="false">
      <c r="A353" s="6" t="str">
        <f aca="false">IF(D353="","",ROW()-3)</f>
        <v/>
      </c>
      <c r="B353" s="7" t="str">
        <f aca="false">IF($C353="","",IFERROR(INDEX(案件マスタ!$A$4:$A$23,MATCH($C353,案件マスタ!$B$4:$B$23,0)),"?"))</f>
        <v/>
      </c>
      <c r="C353" s="8"/>
      <c r="D353" s="9"/>
      <c r="E353" s="10"/>
      <c r="F353" s="11"/>
      <c r="G353" s="11"/>
      <c r="H353" s="10"/>
      <c r="I353" s="12"/>
      <c r="J353" s="13" t="str">
        <f aca="true">IF(D353="","",IF(H353="完了","✓ DONE",IF(G353="","⚠ NO DUE",IF(G353&lt;TODAY(),"🔴 OVERDUE",IF(G353=TODAY(),"🟡 TODAY","")))))</f>
        <v/>
      </c>
      <c r="K353" s="14"/>
      <c r="L353" s="15" t="str">
        <f aca="false">IF(A353="","",SUMIFS(工数ログ!$E$4:$E$1003,工数ログ!$D$4:$D$1003,$A353))</f>
        <v/>
      </c>
      <c r="M353" s="9"/>
      <c r="N353" s="9"/>
      <c r="O353" s="11"/>
      <c r="P353" s="11"/>
      <c r="Q353" s="2"/>
      <c r="R353" s="2"/>
    </row>
    <row r="354" customFormat="false" ht="15" hidden="false" customHeight="false" outlineLevel="0" collapsed="false">
      <c r="A354" s="6" t="str">
        <f aca="false">IF(D354="","",ROW()-3)</f>
        <v/>
      </c>
      <c r="B354" s="7" t="str">
        <f aca="false">IF($C354="","",IFERROR(INDEX(案件マスタ!$A$4:$A$23,MATCH($C354,案件マスタ!$B$4:$B$23,0)),"?"))</f>
        <v/>
      </c>
      <c r="C354" s="8"/>
      <c r="D354" s="9"/>
      <c r="E354" s="10"/>
      <c r="F354" s="11"/>
      <c r="G354" s="11"/>
      <c r="H354" s="10"/>
      <c r="I354" s="12"/>
      <c r="J354" s="13" t="str">
        <f aca="true">IF(D354="","",IF(H354="完了","✓ DONE",IF(G354="","⚠ NO DUE",IF(G354&lt;TODAY(),"🔴 OVERDUE",IF(G354=TODAY(),"🟡 TODAY","")))))</f>
        <v/>
      </c>
      <c r="K354" s="14"/>
      <c r="L354" s="15" t="str">
        <f aca="false">IF(A354="","",SUMIFS(工数ログ!$E$4:$E$1003,工数ログ!$D$4:$D$1003,$A354))</f>
        <v/>
      </c>
      <c r="M354" s="9"/>
      <c r="N354" s="9"/>
      <c r="O354" s="11"/>
      <c r="P354" s="11"/>
      <c r="Q354" s="2"/>
      <c r="R354" s="2"/>
    </row>
    <row r="355" customFormat="false" ht="15" hidden="false" customHeight="false" outlineLevel="0" collapsed="false">
      <c r="A355" s="6" t="str">
        <f aca="false">IF(D355="","",ROW()-3)</f>
        <v/>
      </c>
      <c r="B355" s="7" t="str">
        <f aca="false">IF($C355="","",IFERROR(INDEX(案件マスタ!$A$4:$A$23,MATCH($C355,案件マスタ!$B$4:$B$23,0)),"?"))</f>
        <v/>
      </c>
      <c r="C355" s="8"/>
      <c r="D355" s="9"/>
      <c r="E355" s="10"/>
      <c r="F355" s="11"/>
      <c r="G355" s="11"/>
      <c r="H355" s="10"/>
      <c r="I355" s="12"/>
      <c r="J355" s="13" t="str">
        <f aca="true">IF(D355="","",IF(H355="完了","✓ DONE",IF(G355="","⚠ NO DUE",IF(G355&lt;TODAY(),"🔴 OVERDUE",IF(G355=TODAY(),"🟡 TODAY","")))))</f>
        <v/>
      </c>
      <c r="K355" s="14"/>
      <c r="L355" s="15" t="str">
        <f aca="false">IF(A355="","",SUMIFS(工数ログ!$E$4:$E$1003,工数ログ!$D$4:$D$1003,$A355))</f>
        <v/>
      </c>
      <c r="M355" s="9"/>
      <c r="N355" s="9"/>
      <c r="O355" s="11"/>
      <c r="P355" s="11"/>
      <c r="Q355" s="2"/>
      <c r="R355" s="2"/>
    </row>
    <row r="356" customFormat="false" ht="15" hidden="false" customHeight="false" outlineLevel="0" collapsed="false">
      <c r="A356" s="6" t="str">
        <f aca="false">IF(D356="","",ROW()-3)</f>
        <v/>
      </c>
      <c r="B356" s="7" t="str">
        <f aca="false">IF($C356="","",IFERROR(INDEX(案件マスタ!$A$4:$A$23,MATCH($C356,案件マスタ!$B$4:$B$23,0)),"?"))</f>
        <v/>
      </c>
      <c r="C356" s="8"/>
      <c r="D356" s="9"/>
      <c r="E356" s="10"/>
      <c r="F356" s="11"/>
      <c r="G356" s="11"/>
      <c r="H356" s="10"/>
      <c r="I356" s="12"/>
      <c r="J356" s="13" t="str">
        <f aca="true">IF(D356="","",IF(H356="完了","✓ DONE",IF(G356="","⚠ NO DUE",IF(G356&lt;TODAY(),"🔴 OVERDUE",IF(G356=TODAY(),"🟡 TODAY","")))))</f>
        <v/>
      </c>
      <c r="K356" s="14"/>
      <c r="L356" s="15" t="str">
        <f aca="false">IF(A356="","",SUMIFS(工数ログ!$E$4:$E$1003,工数ログ!$D$4:$D$1003,$A356))</f>
        <v/>
      </c>
      <c r="M356" s="9"/>
      <c r="N356" s="9"/>
      <c r="O356" s="11"/>
      <c r="P356" s="11"/>
      <c r="Q356" s="2"/>
      <c r="R356" s="2"/>
    </row>
    <row r="357" customFormat="false" ht="15" hidden="false" customHeight="false" outlineLevel="0" collapsed="false">
      <c r="A357" s="6" t="str">
        <f aca="false">IF(D357="","",ROW()-3)</f>
        <v/>
      </c>
      <c r="B357" s="7" t="str">
        <f aca="false">IF($C357="","",IFERROR(INDEX(案件マスタ!$A$4:$A$23,MATCH($C357,案件マスタ!$B$4:$B$23,0)),"?"))</f>
        <v/>
      </c>
      <c r="C357" s="8"/>
      <c r="D357" s="9"/>
      <c r="E357" s="10"/>
      <c r="F357" s="11"/>
      <c r="G357" s="11"/>
      <c r="H357" s="10"/>
      <c r="I357" s="12"/>
      <c r="J357" s="13" t="str">
        <f aca="true">IF(D357="","",IF(H357="完了","✓ DONE",IF(G357="","⚠ NO DUE",IF(G357&lt;TODAY(),"🔴 OVERDUE",IF(G357=TODAY(),"🟡 TODAY","")))))</f>
        <v/>
      </c>
      <c r="K357" s="14"/>
      <c r="L357" s="15" t="str">
        <f aca="false">IF(A357="","",SUMIFS(工数ログ!$E$4:$E$1003,工数ログ!$D$4:$D$1003,$A357))</f>
        <v/>
      </c>
      <c r="M357" s="9"/>
      <c r="N357" s="9"/>
      <c r="O357" s="11"/>
      <c r="P357" s="11"/>
      <c r="Q357" s="2"/>
      <c r="R357" s="2"/>
    </row>
    <row r="358" customFormat="false" ht="15" hidden="false" customHeight="false" outlineLevel="0" collapsed="false">
      <c r="A358" s="6" t="str">
        <f aca="false">IF(D358="","",ROW()-3)</f>
        <v/>
      </c>
      <c r="B358" s="7" t="str">
        <f aca="false">IF($C358="","",IFERROR(INDEX(案件マスタ!$A$4:$A$23,MATCH($C358,案件マスタ!$B$4:$B$23,0)),"?"))</f>
        <v/>
      </c>
      <c r="C358" s="8"/>
      <c r="D358" s="9"/>
      <c r="E358" s="10"/>
      <c r="F358" s="11"/>
      <c r="G358" s="11"/>
      <c r="H358" s="10"/>
      <c r="I358" s="12"/>
      <c r="J358" s="13" t="str">
        <f aca="true">IF(D358="","",IF(H358="完了","✓ DONE",IF(G358="","⚠ NO DUE",IF(G358&lt;TODAY(),"🔴 OVERDUE",IF(G358=TODAY(),"🟡 TODAY","")))))</f>
        <v/>
      </c>
      <c r="K358" s="14"/>
      <c r="L358" s="15" t="str">
        <f aca="false">IF(A358="","",SUMIFS(工数ログ!$E$4:$E$1003,工数ログ!$D$4:$D$1003,$A358))</f>
        <v/>
      </c>
      <c r="M358" s="9"/>
      <c r="N358" s="9"/>
      <c r="O358" s="11"/>
      <c r="P358" s="11"/>
      <c r="Q358" s="2"/>
      <c r="R358" s="2"/>
    </row>
    <row r="359" customFormat="false" ht="15" hidden="false" customHeight="false" outlineLevel="0" collapsed="false">
      <c r="A359" s="6" t="str">
        <f aca="false">IF(D359="","",ROW()-3)</f>
        <v/>
      </c>
      <c r="B359" s="7" t="str">
        <f aca="false">IF($C359="","",IFERROR(INDEX(案件マスタ!$A$4:$A$23,MATCH($C359,案件マスタ!$B$4:$B$23,0)),"?"))</f>
        <v/>
      </c>
      <c r="C359" s="8"/>
      <c r="D359" s="9"/>
      <c r="E359" s="10"/>
      <c r="F359" s="11"/>
      <c r="G359" s="11"/>
      <c r="H359" s="10"/>
      <c r="I359" s="12"/>
      <c r="J359" s="13" t="str">
        <f aca="true">IF(D359="","",IF(H359="完了","✓ DONE",IF(G359="","⚠ NO DUE",IF(G359&lt;TODAY(),"🔴 OVERDUE",IF(G359=TODAY(),"🟡 TODAY","")))))</f>
        <v/>
      </c>
      <c r="K359" s="14"/>
      <c r="L359" s="15" t="str">
        <f aca="false">IF(A359="","",SUMIFS(工数ログ!$E$4:$E$1003,工数ログ!$D$4:$D$1003,$A359))</f>
        <v/>
      </c>
      <c r="M359" s="9"/>
      <c r="N359" s="9"/>
      <c r="O359" s="11"/>
      <c r="P359" s="11"/>
      <c r="Q359" s="2"/>
      <c r="R359" s="2"/>
    </row>
    <row r="360" customFormat="false" ht="15" hidden="false" customHeight="false" outlineLevel="0" collapsed="false">
      <c r="A360" s="6" t="str">
        <f aca="false">IF(D360="","",ROW()-3)</f>
        <v/>
      </c>
      <c r="B360" s="7" t="str">
        <f aca="false">IF($C360="","",IFERROR(INDEX(案件マスタ!$A$4:$A$23,MATCH($C360,案件マスタ!$B$4:$B$23,0)),"?"))</f>
        <v/>
      </c>
      <c r="C360" s="8"/>
      <c r="D360" s="9"/>
      <c r="E360" s="10"/>
      <c r="F360" s="11"/>
      <c r="G360" s="11"/>
      <c r="H360" s="10"/>
      <c r="I360" s="12"/>
      <c r="J360" s="13" t="str">
        <f aca="true">IF(D360="","",IF(H360="完了","✓ DONE",IF(G360="","⚠ NO DUE",IF(G360&lt;TODAY(),"🔴 OVERDUE",IF(G360=TODAY(),"🟡 TODAY","")))))</f>
        <v/>
      </c>
      <c r="K360" s="14"/>
      <c r="L360" s="15" t="str">
        <f aca="false">IF(A360="","",SUMIFS(工数ログ!$E$4:$E$1003,工数ログ!$D$4:$D$1003,$A360))</f>
        <v/>
      </c>
      <c r="M360" s="9"/>
      <c r="N360" s="9"/>
      <c r="O360" s="11"/>
      <c r="P360" s="11"/>
      <c r="Q360" s="2"/>
      <c r="R360" s="2"/>
    </row>
    <row r="361" customFormat="false" ht="15" hidden="false" customHeight="false" outlineLevel="0" collapsed="false">
      <c r="A361" s="6" t="str">
        <f aca="false">IF(D361="","",ROW()-3)</f>
        <v/>
      </c>
      <c r="B361" s="7" t="str">
        <f aca="false">IF($C361="","",IFERROR(INDEX(案件マスタ!$A$4:$A$23,MATCH($C361,案件マスタ!$B$4:$B$23,0)),"?"))</f>
        <v/>
      </c>
      <c r="C361" s="8"/>
      <c r="D361" s="9"/>
      <c r="E361" s="10"/>
      <c r="F361" s="11"/>
      <c r="G361" s="11"/>
      <c r="H361" s="10"/>
      <c r="I361" s="12"/>
      <c r="J361" s="13" t="str">
        <f aca="true">IF(D361="","",IF(H361="完了","✓ DONE",IF(G361="","⚠ NO DUE",IF(G361&lt;TODAY(),"🔴 OVERDUE",IF(G361=TODAY(),"🟡 TODAY","")))))</f>
        <v/>
      </c>
      <c r="K361" s="14"/>
      <c r="L361" s="15" t="str">
        <f aca="false">IF(A361="","",SUMIFS(工数ログ!$E$4:$E$1003,工数ログ!$D$4:$D$1003,$A361))</f>
        <v/>
      </c>
      <c r="M361" s="9"/>
      <c r="N361" s="9"/>
      <c r="O361" s="11"/>
      <c r="P361" s="11"/>
      <c r="Q361" s="2"/>
      <c r="R361" s="2"/>
    </row>
    <row r="362" customFormat="false" ht="15" hidden="false" customHeight="false" outlineLevel="0" collapsed="false">
      <c r="A362" s="6" t="str">
        <f aca="false">IF(D362="","",ROW()-3)</f>
        <v/>
      </c>
      <c r="B362" s="7" t="str">
        <f aca="false">IF($C362="","",IFERROR(INDEX(案件マスタ!$A$4:$A$23,MATCH($C362,案件マスタ!$B$4:$B$23,0)),"?"))</f>
        <v/>
      </c>
      <c r="C362" s="8"/>
      <c r="D362" s="9"/>
      <c r="E362" s="10"/>
      <c r="F362" s="11"/>
      <c r="G362" s="11"/>
      <c r="H362" s="10"/>
      <c r="I362" s="12"/>
      <c r="J362" s="13" t="str">
        <f aca="true">IF(D362="","",IF(H362="完了","✓ DONE",IF(G362="","⚠ NO DUE",IF(G362&lt;TODAY(),"🔴 OVERDUE",IF(G362=TODAY(),"🟡 TODAY","")))))</f>
        <v/>
      </c>
      <c r="K362" s="14"/>
      <c r="L362" s="15" t="str">
        <f aca="false">IF(A362="","",SUMIFS(工数ログ!$E$4:$E$1003,工数ログ!$D$4:$D$1003,$A362))</f>
        <v/>
      </c>
      <c r="M362" s="9"/>
      <c r="N362" s="9"/>
      <c r="O362" s="11"/>
      <c r="P362" s="11"/>
      <c r="Q362" s="2"/>
      <c r="R362" s="2"/>
    </row>
    <row r="363" customFormat="false" ht="15" hidden="false" customHeight="false" outlineLevel="0" collapsed="false">
      <c r="A363" s="6" t="str">
        <f aca="false">IF(D363="","",ROW()-3)</f>
        <v/>
      </c>
      <c r="B363" s="7" t="str">
        <f aca="false">IF($C363="","",IFERROR(INDEX(案件マスタ!$A$4:$A$23,MATCH($C363,案件マスタ!$B$4:$B$23,0)),"?"))</f>
        <v/>
      </c>
      <c r="C363" s="8"/>
      <c r="D363" s="9"/>
      <c r="E363" s="10"/>
      <c r="F363" s="11"/>
      <c r="G363" s="11"/>
      <c r="H363" s="10"/>
      <c r="I363" s="12"/>
      <c r="J363" s="13" t="str">
        <f aca="true">IF(D363="","",IF(H363="完了","✓ DONE",IF(G363="","⚠ NO DUE",IF(G363&lt;TODAY(),"🔴 OVERDUE",IF(G363=TODAY(),"🟡 TODAY","")))))</f>
        <v/>
      </c>
      <c r="K363" s="14"/>
      <c r="L363" s="15" t="str">
        <f aca="false">IF(A363="","",SUMIFS(工数ログ!$E$4:$E$1003,工数ログ!$D$4:$D$1003,$A363))</f>
        <v/>
      </c>
      <c r="M363" s="9"/>
      <c r="N363" s="9"/>
      <c r="O363" s="11"/>
      <c r="P363" s="11"/>
      <c r="Q363" s="2"/>
      <c r="R363" s="2"/>
    </row>
    <row r="364" customFormat="false" ht="15" hidden="false" customHeight="false" outlineLevel="0" collapsed="false">
      <c r="A364" s="6" t="str">
        <f aca="false">IF(D364="","",ROW()-3)</f>
        <v/>
      </c>
      <c r="B364" s="7" t="str">
        <f aca="false">IF($C364="","",IFERROR(INDEX(案件マスタ!$A$4:$A$23,MATCH($C364,案件マスタ!$B$4:$B$23,0)),"?"))</f>
        <v/>
      </c>
      <c r="C364" s="8"/>
      <c r="D364" s="9"/>
      <c r="E364" s="10"/>
      <c r="F364" s="11"/>
      <c r="G364" s="11"/>
      <c r="H364" s="10"/>
      <c r="I364" s="12"/>
      <c r="J364" s="13" t="str">
        <f aca="true">IF(D364="","",IF(H364="完了","✓ DONE",IF(G364="","⚠ NO DUE",IF(G364&lt;TODAY(),"🔴 OVERDUE",IF(G364=TODAY(),"🟡 TODAY","")))))</f>
        <v/>
      </c>
      <c r="K364" s="14"/>
      <c r="L364" s="15" t="str">
        <f aca="false">IF(A364="","",SUMIFS(工数ログ!$E$4:$E$1003,工数ログ!$D$4:$D$1003,$A364))</f>
        <v/>
      </c>
      <c r="M364" s="9"/>
      <c r="N364" s="9"/>
      <c r="O364" s="11"/>
      <c r="P364" s="11"/>
      <c r="Q364" s="2"/>
      <c r="R364" s="2"/>
    </row>
    <row r="365" customFormat="false" ht="15" hidden="false" customHeight="false" outlineLevel="0" collapsed="false">
      <c r="A365" s="6" t="str">
        <f aca="false">IF(D365="","",ROW()-3)</f>
        <v/>
      </c>
      <c r="B365" s="7" t="str">
        <f aca="false">IF($C365="","",IFERROR(INDEX(案件マスタ!$A$4:$A$23,MATCH($C365,案件マスタ!$B$4:$B$23,0)),"?"))</f>
        <v/>
      </c>
      <c r="C365" s="8"/>
      <c r="D365" s="9"/>
      <c r="E365" s="10"/>
      <c r="F365" s="11"/>
      <c r="G365" s="11"/>
      <c r="H365" s="10"/>
      <c r="I365" s="12"/>
      <c r="J365" s="13" t="str">
        <f aca="true">IF(D365="","",IF(H365="完了","✓ DONE",IF(G365="","⚠ NO DUE",IF(G365&lt;TODAY(),"🔴 OVERDUE",IF(G365=TODAY(),"🟡 TODAY","")))))</f>
        <v/>
      </c>
      <c r="K365" s="14"/>
      <c r="L365" s="15" t="str">
        <f aca="false">IF(A365="","",SUMIFS(工数ログ!$E$4:$E$1003,工数ログ!$D$4:$D$1003,$A365))</f>
        <v/>
      </c>
      <c r="M365" s="9"/>
      <c r="N365" s="9"/>
      <c r="O365" s="11"/>
      <c r="P365" s="11"/>
      <c r="Q365" s="2"/>
      <c r="R365" s="2"/>
    </row>
    <row r="366" customFormat="false" ht="15" hidden="false" customHeight="false" outlineLevel="0" collapsed="false">
      <c r="A366" s="6" t="str">
        <f aca="false">IF(D366="","",ROW()-3)</f>
        <v/>
      </c>
      <c r="B366" s="7" t="str">
        <f aca="false">IF($C366="","",IFERROR(INDEX(案件マスタ!$A$4:$A$23,MATCH($C366,案件マスタ!$B$4:$B$23,0)),"?"))</f>
        <v/>
      </c>
      <c r="C366" s="8"/>
      <c r="D366" s="9"/>
      <c r="E366" s="10"/>
      <c r="F366" s="11"/>
      <c r="G366" s="11"/>
      <c r="H366" s="10"/>
      <c r="I366" s="12"/>
      <c r="J366" s="13" t="str">
        <f aca="true">IF(D366="","",IF(H366="完了","✓ DONE",IF(G366="","⚠ NO DUE",IF(G366&lt;TODAY(),"🔴 OVERDUE",IF(G366=TODAY(),"🟡 TODAY","")))))</f>
        <v/>
      </c>
      <c r="K366" s="14"/>
      <c r="L366" s="15" t="str">
        <f aca="false">IF(A366="","",SUMIFS(工数ログ!$E$4:$E$1003,工数ログ!$D$4:$D$1003,$A366))</f>
        <v/>
      </c>
      <c r="M366" s="9"/>
      <c r="N366" s="9"/>
      <c r="O366" s="11"/>
      <c r="P366" s="11"/>
      <c r="Q366" s="2"/>
      <c r="R366" s="2"/>
    </row>
    <row r="367" customFormat="false" ht="15" hidden="false" customHeight="false" outlineLevel="0" collapsed="false">
      <c r="A367" s="6" t="str">
        <f aca="false">IF(D367="","",ROW()-3)</f>
        <v/>
      </c>
      <c r="B367" s="7" t="str">
        <f aca="false">IF($C367="","",IFERROR(INDEX(案件マスタ!$A$4:$A$23,MATCH($C367,案件マスタ!$B$4:$B$23,0)),"?"))</f>
        <v/>
      </c>
      <c r="C367" s="8"/>
      <c r="D367" s="9"/>
      <c r="E367" s="10"/>
      <c r="F367" s="11"/>
      <c r="G367" s="11"/>
      <c r="H367" s="10"/>
      <c r="I367" s="12"/>
      <c r="J367" s="13" t="str">
        <f aca="true">IF(D367="","",IF(H367="完了","✓ DONE",IF(G367="","⚠ NO DUE",IF(G367&lt;TODAY(),"🔴 OVERDUE",IF(G367=TODAY(),"🟡 TODAY","")))))</f>
        <v/>
      </c>
      <c r="K367" s="14"/>
      <c r="L367" s="15" t="str">
        <f aca="false">IF(A367="","",SUMIFS(工数ログ!$E$4:$E$1003,工数ログ!$D$4:$D$1003,$A367))</f>
        <v/>
      </c>
      <c r="M367" s="9"/>
      <c r="N367" s="9"/>
      <c r="O367" s="11"/>
      <c r="P367" s="11"/>
      <c r="Q367" s="2"/>
      <c r="R367" s="2"/>
    </row>
    <row r="368" customFormat="false" ht="15" hidden="false" customHeight="false" outlineLevel="0" collapsed="false">
      <c r="A368" s="6" t="str">
        <f aca="false">IF(D368="","",ROW()-3)</f>
        <v/>
      </c>
      <c r="B368" s="7" t="str">
        <f aca="false">IF($C368="","",IFERROR(INDEX(案件マスタ!$A$4:$A$23,MATCH($C368,案件マスタ!$B$4:$B$23,0)),"?"))</f>
        <v/>
      </c>
      <c r="C368" s="8"/>
      <c r="D368" s="9"/>
      <c r="E368" s="10"/>
      <c r="F368" s="11"/>
      <c r="G368" s="11"/>
      <c r="H368" s="10"/>
      <c r="I368" s="12"/>
      <c r="J368" s="13" t="str">
        <f aca="true">IF(D368="","",IF(H368="完了","✓ DONE",IF(G368="","⚠ NO DUE",IF(G368&lt;TODAY(),"🔴 OVERDUE",IF(G368=TODAY(),"🟡 TODAY","")))))</f>
        <v/>
      </c>
      <c r="K368" s="14"/>
      <c r="L368" s="15" t="str">
        <f aca="false">IF(A368="","",SUMIFS(工数ログ!$E$4:$E$1003,工数ログ!$D$4:$D$1003,$A368))</f>
        <v/>
      </c>
      <c r="M368" s="9"/>
      <c r="N368" s="9"/>
      <c r="O368" s="11"/>
      <c r="P368" s="11"/>
      <c r="Q368" s="2"/>
      <c r="R368" s="2"/>
    </row>
    <row r="369" customFormat="false" ht="15" hidden="false" customHeight="false" outlineLevel="0" collapsed="false">
      <c r="A369" s="6" t="str">
        <f aca="false">IF(D369="","",ROW()-3)</f>
        <v/>
      </c>
      <c r="B369" s="7" t="str">
        <f aca="false">IF($C369="","",IFERROR(INDEX(案件マスタ!$A$4:$A$23,MATCH($C369,案件マスタ!$B$4:$B$23,0)),"?"))</f>
        <v/>
      </c>
      <c r="C369" s="8"/>
      <c r="D369" s="9"/>
      <c r="E369" s="10"/>
      <c r="F369" s="11"/>
      <c r="G369" s="11"/>
      <c r="H369" s="10"/>
      <c r="I369" s="12"/>
      <c r="J369" s="13" t="str">
        <f aca="true">IF(D369="","",IF(H369="完了","✓ DONE",IF(G369="","⚠ NO DUE",IF(G369&lt;TODAY(),"🔴 OVERDUE",IF(G369=TODAY(),"🟡 TODAY","")))))</f>
        <v/>
      </c>
      <c r="K369" s="14"/>
      <c r="L369" s="15" t="str">
        <f aca="false">IF(A369="","",SUMIFS(工数ログ!$E$4:$E$1003,工数ログ!$D$4:$D$1003,$A369))</f>
        <v/>
      </c>
      <c r="M369" s="9"/>
      <c r="N369" s="9"/>
      <c r="O369" s="11"/>
      <c r="P369" s="11"/>
      <c r="Q369" s="2"/>
      <c r="R369" s="2"/>
    </row>
    <row r="370" customFormat="false" ht="15" hidden="false" customHeight="false" outlineLevel="0" collapsed="false">
      <c r="A370" s="6" t="str">
        <f aca="false">IF(D370="","",ROW()-3)</f>
        <v/>
      </c>
      <c r="B370" s="7" t="str">
        <f aca="false">IF($C370="","",IFERROR(INDEX(案件マスタ!$A$4:$A$23,MATCH($C370,案件マスタ!$B$4:$B$23,0)),"?"))</f>
        <v/>
      </c>
      <c r="C370" s="8"/>
      <c r="D370" s="9"/>
      <c r="E370" s="10"/>
      <c r="F370" s="11"/>
      <c r="G370" s="11"/>
      <c r="H370" s="10"/>
      <c r="I370" s="12"/>
      <c r="J370" s="13" t="str">
        <f aca="true">IF(D370="","",IF(H370="完了","✓ DONE",IF(G370="","⚠ NO DUE",IF(G370&lt;TODAY(),"🔴 OVERDUE",IF(G370=TODAY(),"🟡 TODAY","")))))</f>
        <v/>
      </c>
      <c r="K370" s="14"/>
      <c r="L370" s="15" t="str">
        <f aca="false">IF(A370="","",SUMIFS(工数ログ!$E$4:$E$1003,工数ログ!$D$4:$D$1003,$A370))</f>
        <v/>
      </c>
      <c r="M370" s="9"/>
      <c r="N370" s="9"/>
      <c r="O370" s="11"/>
      <c r="P370" s="11"/>
      <c r="Q370" s="2"/>
      <c r="R370" s="2"/>
    </row>
    <row r="371" customFormat="false" ht="15" hidden="false" customHeight="false" outlineLevel="0" collapsed="false">
      <c r="A371" s="6" t="str">
        <f aca="false">IF(D371="","",ROW()-3)</f>
        <v/>
      </c>
      <c r="B371" s="7" t="str">
        <f aca="false">IF($C371="","",IFERROR(INDEX(案件マスタ!$A$4:$A$23,MATCH($C371,案件マスタ!$B$4:$B$23,0)),"?"))</f>
        <v/>
      </c>
      <c r="C371" s="8"/>
      <c r="D371" s="9"/>
      <c r="E371" s="10"/>
      <c r="F371" s="11"/>
      <c r="G371" s="11"/>
      <c r="H371" s="10"/>
      <c r="I371" s="12"/>
      <c r="J371" s="13" t="str">
        <f aca="true">IF(D371="","",IF(H371="完了","✓ DONE",IF(G371="","⚠ NO DUE",IF(G371&lt;TODAY(),"🔴 OVERDUE",IF(G371=TODAY(),"🟡 TODAY","")))))</f>
        <v/>
      </c>
      <c r="K371" s="14"/>
      <c r="L371" s="15" t="str">
        <f aca="false">IF(A371="","",SUMIFS(工数ログ!$E$4:$E$1003,工数ログ!$D$4:$D$1003,$A371))</f>
        <v/>
      </c>
      <c r="M371" s="9"/>
      <c r="N371" s="9"/>
      <c r="O371" s="11"/>
      <c r="P371" s="11"/>
      <c r="Q371" s="2"/>
      <c r="R371" s="2"/>
    </row>
    <row r="372" customFormat="false" ht="15" hidden="false" customHeight="false" outlineLevel="0" collapsed="false">
      <c r="A372" s="6" t="str">
        <f aca="false">IF(D372="","",ROW()-3)</f>
        <v/>
      </c>
      <c r="B372" s="7" t="str">
        <f aca="false">IF($C372="","",IFERROR(INDEX(案件マスタ!$A$4:$A$23,MATCH($C372,案件マスタ!$B$4:$B$23,0)),"?"))</f>
        <v/>
      </c>
      <c r="C372" s="8"/>
      <c r="D372" s="9"/>
      <c r="E372" s="10"/>
      <c r="F372" s="11"/>
      <c r="G372" s="11"/>
      <c r="H372" s="10"/>
      <c r="I372" s="12"/>
      <c r="J372" s="13" t="str">
        <f aca="true">IF(D372="","",IF(H372="完了","✓ DONE",IF(G372="","⚠ NO DUE",IF(G372&lt;TODAY(),"🔴 OVERDUE",IF(G372=TODAY(),"🟡 TODAY","")))))</f>
        <v/>
      </c>
      <c r="K372" s="14"/>
      <c r="L372" s="15" t="str">
        <f aca="false">IF(A372="","",SUMIFS(工数ログ!$E$4:$E$1003,工数ログ!$D$4:$D$1003,$A372))</f>
        <v/>
      </c>
      <c r="M372" s="9"/>
      <c r="N372" s="9"/>
      <c r="O372" s="11"/>
      <c r="P372" s="11"/>
      <c r="Q372" s="2"/>
      <c r="R372" s="2"/>
    </row>
    <row r="373" customFormat="false" ht="15" hidden="false" customHeight="false" outlineLevel="0" collapsed="false">
      <c r="A373" s="6" t="str">
        <f aca="false">IF(D373="","",ROW()-3)</f>
        <v/>
      </c>
      <c r="B373" s="7" t="str">
        <f aca="false">IF($C373="","",IFERROR(INDEX(案件マスタ!$A$4:$A$23,MATCH($C373,案件マスタ!$B$4:$B$23,0)),"?"))</f>
        <v/>
      </c>
      <c r="C373" s="8"/>
      <c r="D373" s="9"/>
      <c r="E373" s="10"/>
      <c r="F373" s="11"/>
      <c r="G373" s="11"/>
      <c r="H373" s="10"/>
      <c r="I373" s="12"/>
      <c r="J373" s="13" t="str">
        <f aca="true">IF(D373="","",IF(H373="完了","✓ DONE",IF(G373="","⚠ NO DUE",IF(G373&lt;TODAY(),"🔴 OVERDUE",IF(G373=TODAY(),"🟡 TODAY","")))))</f>
        <v/>
      </c>
      <c r="K373" s="14"/>
      <c r="L373" s="15" t="str">
        <f aca="false">IF(A373="","",SUMIFS(工数ログ!$E$4:$E$1003,工数ログ!$D$4:$D$1003,$A373))</f>
        <v/>
      </c>
      <c r="M373" s="9"/>
      <c r="N373" s="9"/>
      <c r="O373" s="11"/>
      <c r="P373" s="11"/>
      <c r="Q373" s="2"/>
      <c r="R373" s="2"/>
    </row>
    <row r="374" customFormat="false" ht="15" hidden="false" customHeight="false" outlineLevel="0" collapsed="false">
      <c r="A374" s="6" t="str">
        <f aca="false">IF(D374="","",ROW()-3)</f>
        <v/>
      </c>
      <c r="B374" s="7" t="str">
        <f aca="false">IF($C374="","",IFERROR(INDEX(案件マスタ!$A$4:$A$23,MATCH($C374,案件マスタ!$B$4:$B$23,0)),"?"))</f>
        <v/>
      </c>
      <c r="C374" s="8"/>
      <c r="D374" s="9"/>
      <c r="E374" s="10"/>
      <c r="F374" s="11"/>
      <c r="G374" s="11"/>
      <c r="H374" s="10"/>
      <c r="I374" s="12"/>
      <c r="J374" s="13" t="str">
        <f aca="true">IF(D374="","",IF(H374="完了","✓ DONE",IF(G374="","⚠ NO DUE",IF(G374&lt;TODAY(),"🔴 OVERDUE",IF(G374=TODAY(),"🟡 TODAY","")))))</f>
        <v/>
      </c>
      <c r="K374" s="14"/>
      <c r="L374" s="15" t="str">
        <f aca="false">IF(A374="","",SUMIFS(工数ログ!$E$4:$E$1003,工数ログ!$D$4:$D$1003,$A374))</f>
        <v/>
      </c>
      <c r="M374" s="9"/>
      <c r="N374" s="9"/>
      <c r="O374" s="11"/>
      <c r="P374" s="11"/>
      <c r="Q374" s="2"/>
      <c r="R374" s="2"/>
    </row>
    <row r="375" customFormat="false" ht="15" hidden="false" customHeight="false" outlineLevel="0" collapsed="false">
      <c r="A375" s="6" t="str">
        <f aca="false">IF(D375="","",ROW()-3)</f>
        <v/>
      </c>
      <c r="B375" s="7" t="str">
        <f aca="false">IF($C375="","",IFERROR(INDEX(案件マスタ!$A$4:$A$23,MATCH($C375,案件マスタ!$B$4:$B$23,0)),"?"))</f>
        <v/>
      </c>
      <c r="C375" s="8"/>
      <c r="D375" s="9"/>
      <c r="E375" s="10"/>
      <c r="F375" s="11"/>
      <c r="G375" s="11"/>
      <c r="H375" s="10"/>
      <c r="I375" s="12"/>
      <c r="J375" s="13" t="str">
        <f aca="true">IF(D375="","",IF(H375="完了","✓ DONE",IF(G375="","⚠ NO DUE",IF(G375&lt;TODAY(),"🔴 OVERDUE",IF(G375=TODAY(),"🟡 TODAY","")))))</f>
        <v/>
      </c>
      <c r="K375" s="14"/>
      <c r="L375" s="15" t="str">
        <f aca="false">IF(A375="","",SUMIFS(工数ログ!$E$4:$E$1003,工数ログ!$D$4:$D$1003,$A375))</f>
        <v/>
      </c>
      <c r="M375" s="9"/>
      <c r="N375" s="9"/>
      <c r="O375" s="11"/>
      <c r="P375" s="11"/>
      <c r="Q375" s="2"/>
      <c r="R375" s="2"/>
    </row>
    <row r="376" customFormat="false" ht="15" hidden="false" customHeight="false" outlineLevel="0" collapsed="false">
      <c r="A376" s="6" t="str">
        <f aca="false">IF(D376="","",ROW()-3)</f>
        <v/>
      </c>
      <c r="B376" s="7" t="str">
        <f aca="false">IF($C376="","",IFERROR(INDEX(案件マスタ!$A$4:$A$23,MATCH($C376,案件マスタ!$B$4:$B$23,0)),"?"))</f>
        <v/>
      </c>
      <c r="C376" s="8"/>
      <c r="D376" s="9"/>
      <c r="E376" s="10"/>
      <c r="F376" s="11"/>
      <c r="G376" s="11"/>
      <c r="H376" s="10"/>
      <c r="I376" s="12"/>
      <c r="J376" s="13" t="str">
        <f aca="true">IF(D376="","",IF(H376="完了","✓ DONE",IF(G376="","⚠ NO DUE",IF(G376&lt;TODAY(),"🔴 OVERDUE",IF(G376=TODAY(),"🟡 TODAY","")))))</f>
        <v/>
      </c>
      <c r="K376" s="14"/>
      <c r="L376" s="15" t="str">
        <f aca="false">IF(A376="","",SUMIFS(工数ログ!$E$4:$E$1003,工数ログ!$D$4:$D$1003,$A376))</f>
        <v/>
      </c>
      <c r="M376" s="9"/>
      <c r="N376" s="9"/>
      <c r="O376" s="11"/>
      <c r="P376" s="11"/>
      <c r="Q376" s="2"/>
      <c r="R376" s="2"/>
    </row>
    <row r="377" customFormat="false" ht="15" hidden="false" customHeight="false" outlineLevel="0" collapsed="false">
      <c r="A377" s="6" t="str">
        <f aca="false">IF(D377="","",ROW()-3)</f>
        <v/>
      </c>
      <c r="B377" s="7" t="str">
        <f aca="false">IF($C377="","",IFERROR(INDEX(案件マスタ!$A$4:$A$23,MATCH($C377,案件マスタ!$B$4:$B$23,0)),"?"))</f>
        <v/>
      </c>
      <c r="C377" s="8"/>
      <c r="D377" s="9"/>
      <c r="E377" s="10"/>
      <c r="F377" s="11"/>
      <c r="G377" s="11"/>
      <c r="H377" s="10"/>
      <c r="I377" s="12"/>
      <c r="J377" s="13" t="str">
        <f aca="true">IF(D377="","",IF(H377="完了","✓ DONE",IF(G377="","⚠ NO DUE",IF(G377&lt;TODAY(),"🔴 OVERDUE",IF(G377=TODAY(),"🟡 TODAY","")))))</f>
        <v/>
      </c>
      <c r="K377" s="14"/>
      <c r="L377" s="15" t="str">
        <f aca="false">IF(A377="","",SUMIFS(工数ログ!$E$4:$E$1003,工数ログ!$D$4:$D$1003,$A377))</f>
        <v/>
      </c>
      <c r="M377" s="9"/>
      <c r="N377" s="9"/>
      <c r="O377" s="11"/>
      <c r="P377" s="11"/>
      <c r="Q377" s="2"/>
      <c r="R377" s="2"/>
    </row>
    <row r="378" customFormat="false" ht="15" hidden="false" customHeight="false" outlineLevel="0" collapsed="false">
      <c r="A378" s="6" t="str">
        <f aca="false">IF(D378="","",ROW()-3)</f>
        <v/>
      </c>
      <c r="B378" s="7" t="str">
        <f aca="false">IF($C378="","",IFERROR(INDEX(案件マスタ!$A$4:$A$23,MATCH($C378,案件マスタ!$B$4:$B$23,0)),"?"))</f>
        <v/>
      </c>
      <c r="C378" s="8"/>
      <c r="D378" s="9"/>
      <c r="E378" s="10"/>
      <c r="F378" s="11"/>
      <c r="G378" s="11"/>
      <c r="H378" s="10"/>
      <c r="I378" s="12"/>
      <c r="J378" s="13" t="str">
        <f aca="true">IF(D378="","",IF(H378="完了","✓ DONE",IF(G378="","⚠ NO DUE",IF(G378&lt;TODAY(),"🔴 OVERDUE",IF(G378=TODAY(),"🟡 TODAY","")))))</f>
        <v/>
      </c>
      <c r="K378" s="14"/>
      <c r="L378" s="15" t="str">
        <f aca="false">IF(A378="","",SUMIFS(工数ログ!$E$4:$E$1003,工数ログ!$D$4:$D$1003,$A378))</f>
        <v/>
      </c>
      <c r="M378" s="9"/>
      <c r="N378" s="9"/>
      <c r="O378" s="11"/>
      <c r="P378" s="11"/>
      <c r="Q378" s="2"/>
      <c r="R378" s="2"/>
    </row>
    <row r="379" customFormat="false" ht="15" hidden="false" customHeight="false" outlineLevel="0" collapsed="false">
      <c r="A379" s="6" t="str">
        <f aca="false">IF(D379="","",ROW()-3)</f>
        <v/>
      </c>
      <c r="B379" s="7" t="str">
        <f aca="false">IF($C379="","",IFERROR(INDEX(案件マスタ!$A$4:$A$23,MATCH($C379,案件マスタ!$B$4:$B$23,0)),"?"))</f>
        <v/>
      </c>
      <c r="C379" s="8"/>
      <c r="D379" s="9"/>
      <c r="E379" s="10"/>
      <c r="F379" s="11"/>
      <c r="G379" s="11"/>
      <c r="H379" s="10"/>
      <c r="I379" s="12"/>
      <c r="J379" s="13" t="str">
        <f aca="true">IF(D379="","",IF(H379="完了","✓ DONE",IF(G379="","⚠ NO DUE",IF(G379&lt;TODAY(),"🔴 OVERDUE",IF(G379=TODAY(),"🟡 TODAY","")))))</f>
        <v/>
      </c>
      <c r="K379" s="14"/>
      <c r="L379" s="15" t="str">
        <f aca="false">IF(A379="","",SUMIFS(工数ログ!$E$4:$E$1003,工数ログ!$D$4:$D$1003,$A379))</f>
        <v/>
      </c>
      <c r="M379" s="9"/>
      <c r="N379" s="9"/>
      <c r="O379" s="11"/>
      <c r="P379" s="11"/>
      <c r="Q379" s="2"/>
      <c r="R379" s="2"/>
    </row>
    <row r="380" customFormat="false" ht="15" hidden="false" customHeight="false" outlineLevel="0" collapsed="false">
      <c r="A380" s="6" t="str">
        <f aca="false">IF(D380="","",ROW()-3)</f>
        <v/>
      </c>
      <c r="B380" s="7" t="str">
        <f aca="false">IF($C380="","",IFERROR(INDEX(案件マスタ!$A$4:$A$23,MATCH($C380,案件マスタ!$B$4:$B$23,0)),"?"))</f>
        <v/>
      </c>
      <c r="C380" s="8"/>
      <c r="D380" s="9"/>
      <c r="E380" s="10"/>
      <c r="F380" s="11"/>
      <c r="G380" s="11"/>
      <c r="H380" s="10"/>
      <c r="I380" s="12"/>
      <c r="J380" s="13" t="str">
        <f aca="true">IF(D380="","",IF(H380="完了","✓ DONE",IF(G380="","⚠ NO DUE",IF(G380&lt;TODAY(),"🔴 OVERDUE",IF(G380=TODAY(),"🟡 TODAY","")))))</f>
        <v/>
      </c>
      <c r="K380" s="14"/>
      <c r="L380" s="15" t="str">
        <f aca="false">IF(A380="","",SUMIFS(工数ログ!$E$4:$E$1003,工数ログ!$D$4:$D$1003,$A380))</f>
        <v/>
      </c>
      <c r="M380" s="9"/>
      <c r="N380" s="9"/>
      <c r="O380" s="11"/>
      <c r="P380" s="11"/>
      <c r="Q380" s="2"/>
      <c r="R380" s="2"/>
    </row>
    <row r="381" customFormat="false" ht="15" hidden="false" customHeight="false" outlineLevel="0" collapsed="false">
      <c r="A381" s="6" t="str">
        <f aca="false">IF(D381="","",ROW()-3)</f>
        <v/>
      </c>
      <c r="B381" s="7" t="str">
        <f aca="false">IF($C381="","",IFERROR(INDEX(案件マスタ!$A$4:$A$23,MATCH($C381,案件マスタ!$B$4:$B$23,0)),"?"))</f>
        <v/>
      </c>
      <c r="C381" s="8"/>
      <c r="D381" s="9"/>
      <c r="E381" s="10"/>
      <c r="F381" s="11"/>
      <c r="G381" s="11"/>
      <c r="H381" s="10"/>
      <c r="I381" s="12"/>
      <c r="J381" s="13" t="str">
        <f aca="true">IF(D381="","",IF(H381="完了","✓ DONE",IF(G381="","⚠ NO DUE",IF(G381&lt;TODAY(),"🔴 OVERDUE",IF(G381=TODAY(),"🟡 TODAY","")))))</f>
        <v/>
      </c>
      <c r="K381" s="14"/>
      <c r="L381" s="15" t="str">
        <f aca="false">IF(A381="","",SUMIFS(工数ログ!$E$4:$E$1003,工数ログ!$D$4:$D$1003,$A381))</f>
        <v/>
      </c>
      <c r="M381" s="9"/>
      <c r="N381" s="9"/>
      <c r="O381" s="11"/>
      <c r="P381" s="11"/>
      <c r="Q381" s="2"/>
      <c r="R381" s="2"/>
    </row>
    <row r="382" customFormat="false" ht="15" hidden="false" customHeight="false" outlineLevel="0" collapsed="false">
      <c r="A382" s="6" t="str">
        <f aca="false">IF(D382="","",ROW()-3)</f>
        <v/>
      </c>
      <c r="B382" s="7" t="str">
        <f aca="false">IF($C382="","",IFERROR(INDEX(案件マスタ!$A$4:$A$23,MATCH($C382,案件マスタ!$B$4:$B$23,0)),"?"))</f>
        <v/>
      </c>
      <c r="C382" s="8"/>
      <c r="D382" s="9"/>
      <c r="E382" s="10"/>
      <c r="F382" s="11"/>
      <c r="G382" s="11"/>
      <c r="H382" s="10"/>
      <c r="I382" s="12"/>
      <c r="J382" s="13" t="str">
        <f aca="true">IF(D382="","",IF(H382="完了","✓ DONE",IF(G382="","⚠ NO DUE",IF(G382&lt;TODAY(),"🔴 OVERDUE",IF(G382=TODAY(),"🟡 TODAY","")))))</f>
        <v/>
      </c>
      <c r="K382" s="14"/>
      <c r="L382" s="15" t="str">
        <f aca="false">IF(A382="","",SUMIFS(工数ログ!$E$4:$E$1003,工数ログ!$D$4:$D$1003,$A382))</f>
        <v/>
      </c>
      <c r="M382" s="9"/>
      <c r="N382" s="9"/>
      <c r="O382" s="11"/>
      <c r="P382" s="11"/>
      <c r="Q382" s="2"/>
      <c r="R382" s="2"/>
    </row>
    <row r="383" customFormat="false" ht="15" hidden="false" customHeight="false" outlineLevel="0" collapsed="false">
      <c r="A383" s="6" t="str">
        <f aca="false">IF(D383="","",ROW()-3)</f>
        <v/>
      </c>
      <c r="B383" s="7" t="str">
        <f aca="false">IF($C383="","",IFERROR(INDEX(案件マスタ!$A$4:$A$23,MATCH($C383,案件マスタ!$B$4:$B$23,0)),"?"))</f>
        <v/>
      </c>
      <c r="C383" s="8"/>
      <c r="D383" s="9"/>
      <c r="E383" s="10"/>
      <c r="F383" s="11"/>
      <c r="G383" s="11"/>
      <c r="H383" s="10"/>
      <c r="I383" s="12"/>
      <c r="J383" s="13" t="str">
        <f aca="true">IF(D383="","",IF(H383="完了","✓ DONE",IF(G383="","⚠ NO DUE",IF(G383&lt;TODAY(),"🔴 OVERDUE",IF(G383=TODAY(),"🟡 TODAY","")))))</f>
        <v/>
      </c>
      <c r="K383" s="14"/>
      <c r="L383" s="15" t="str">
        <f aca="false">IF(A383="","",SUMIFS(工数ログ!$E$4:$E$1003,工数ログ!$D$4:$D$1003,$A383))</f>
        <v/>
      </c>
      <c r="M383" s="9"/>
      <c r="N383" s="9"/>
      <c r="O383" s="11"/>
      <c r="P383" s="11"/>
      <c r="Q383" s="2"/>
      <c r="R383" s="2"/>
    </row>
    <row r="384" customFormat="false" ht="15" hidden="false" customHeight="false" outlineLevel="0" collapsed="false">
      <c r="A384" s="6" t="str">
        <f aca="false">IF(D384="","",ROW()-3)</f>
        <v/>
      </c>
      <c r="B384" s="7" t="str">
        <f aca="false">IF($C384="","",IFERROR(INDEX(案件マスタ!$A$4:$A$23,MATCH($C384,案件マスタ!$B$4:$B$23,0)),"?"))</f>
        <v/>
      </c>
      <c r="C384" s="8"/>
      <c r="D384" s="9"/>
      <c r="E384" s="10"/>
      <c r="F384" s="11"/>
      <c r="G384" s="11"/>
      <c r="H384" s="10"/>
      <c r="I384" s="12"/>
      <c r="J384" s="13" t="str">
        <f aca="true">IF(D384="","",IF(H384="完了","✓ DONE",IF(G384="","⚠ NO DUE",IF(G384&lt;TODAY(),"🔴 OVERDUE",IF(G384=TODAY(),"🟡 TODAY","")))))</f>
        <v/>
      </c>
      <c r="K384" s="14"/>
      <c r="L384" s="15" t="str">
        <f aca="false">IF(A384="","",SUMIFS(工数ログ!$E$4:$E$1003,工数ログ!$D$4:$D$1003,$A384))</f>
        <v/>
      </c>
      <c r="M384" s="9"/>
      <c r="N384" s="9"/>
      <c r="O384" s="11"/>
      <c r="P384" s="11"/>
      <c r="Q384" s="2"/>
      <c r="R384" s="2"/>
    </row>
    <row r="385" customFormat="false" ht="15" hidden="false" customHeight="false" outlineLevel="0" collapsed="false">
      <c r="A385" s="6" t="str">
        <f aca="false">IF(D385="","",ROW()-3)</f>
        <v/>
      </c>
      <c r="B385" s="7" t="str">
        <f aca="false">IF($C385="","",IFERROR(INDEX(案件マスタ!$A$4:$A$23,MATCH($C385,案件マスタ!$B$4:$B$23,0)),"?"))</f>
        <v/>
      </c>
      <c r="C385" s="8"/>
      <c r="D385" s="9"/>
      <c r="E385" s="10"/>
      <c r="F385" s="11"/>
      <c r="G385" s="11"/>
      <c r="H385" s="10"/>
      <c r="I385" s="12"/>
      <c r="J385" s="13" t="str">
        <f aca="true">IF(D385="","",IF(H385="完了","✓ DONE",IF(G385="","⚠ NO DUE",IF(G385&lt;TODAY(),"🔴 OVERDUE",IF(G385=TODAY(),"🟡 TODAY","")))))</f>
        <v/>
      </c>
      <c r="K385" s="14"/>
      <c r="L385" s="15" t="str">
        <f aca="false">IF(A385="","",SUMIFS(工数ログ!$E$4:$E$1003,工数ログ!$D$4:$D$1003,$A385))</f>
        <v/>
      </c>
      <c r="M385" s="9"/>
      <c r="N385" s="9"/>
      <c r="O385" s="11"/>
      <c r="P385" s="11"/>
      <c r="Q385" s="2"/>
      <c r="R385" s="2"/>
    </row>
    <row r="386" customFormat="false" ht="15" hidden="false" customHeight="false" outlineLevel="0" collapsed="false">
      <c r="A386" s="6" t="str">
        <f aca="false">IF(D386="","",ROW()-3)</f>
        <v/>
      </c>
      <c r="B386" s="7" t="str">
        <f aca="false">IF($C386="","",IFERROR(INDEX(案件マスタ!$A$4:$A$23,MATCH($C386,案件マスタ!$B$4:$B$23,0)),"?"))</f>
        <v/>
      </c>
      <c r="C386" s="8"/>
      <c r="D386" s="9"/>
      <c r="E386" s="10"/>
      <c r="F386" s="11"/>
      <c r="G386" s="11"/>
      <c r="H386" s="10"/>
      <c r="I386" s="12"/>
      <c r="J386" s="13" t="str">
        <f aca="true">IF(D386="","",IF(H386="完了","✓ DONE",IF(G386="","⚠ NO DUE",IF(G386&lt;TODAY(),"🔴 OVERDUE",IF(G386=TODAY(),"🟡 TODAY","")))))</f>
        <v/>
      </c>
      <c r="K386" s="14"/>
      <c r="L386" s="15" t="str">
        <f aca="false">IF(A386="","",SUMIFS(工数ログ!$E$4:$E$1003,工数ログ!$D$4:$D$1003,$A386))</f>
        <v/>
      </c>
      <c r="M386" s="9"/>
      <c r="N386" s="9"/>
      <c r="O386" s="11"/>
      <c r="P386" s="11"/>
      <c r="Q386" s="2"/>
      <c r="R386" s="2"/>
    </row>
    <row r="387" customFormat="false" ht="15" hidden="false" customHeight="false" outlineLevel="0" collapsed="false">
      <c r="A387" s="6" t="str">
        <f aca="false">IF(D387="","",ROW()-3)</f>
        <v/>
      </c>
      <c r="B387" s="7" t="str">
        <f aca="false">IF($C387="","",IFERROR(INDEX(案件マスタ!$A$4:$A$23,MATCH($C387,案件マスタ!$B$4:$B$23,0)),"?"))</f>
        <v/>
      </c>
      <c r="C387" s="8"/>
      <c r="D387" s="9"/>
      <c r="E387" s="10"/>
      <c r="F387" s="11"/>
      <c r="G387" s="11"/>
      <c r="H387" s="10"/>
      <c r="I387" s="12"/>
      <c r="J387" s="13" t="str">
        <f aca="true">IF(D387="","",IF(H387="完了","✓ DONE",IF(G387="","⚠ NO DUE",IF(G387&lt;TODAY(),"🔴 OVERDUE",IF(G387=TODAY(),"🟡 TODAY","")))))</f>
        <v/>
      </c>
      <c r="K387" s="14"/>
      <c r="L387" s="15" t="str">
        <f aca="false">IF(A387="","",SUMIFS(工数ログ!$E$4:$E$1003,工数ログ!$D$4:$D$1003,$A387))</f>
        <v/>
      </c>
      <c r="M387" s="9"/>
      <c r="N387" s="9"/>
      <c r="O387" s="11"/>
      <c r="P387" s="11"/>
      <c r="Q387" s="2"/>
      <c r="R387" s="2"/>
    </row>
    <row r="388" customFormat="false" ht="15" hidden="false" customHeight="false" outlineLevel="0" collapsed="false">
      <c r="A388" s="6" t="str">
        <f aca="false">IF(D388="","",ROW()-3)</f>
        <v/>
      </c>
      <c r="B388" s="7" t="str">
        <f aca="false">IF($C388="","",IFERROR(INDEX(案件マスタ!$A$4:$A$23,MATCH($C388,案件マスタ!$B$4:$B$23,0)),"?"))</f>
        <v/>
      </c>
      <c r="C388" s="8"/>
      <c r="D388" s="9"/>
      <c r="E388" s="10"/>
      <c r="F388" s="11"/>
      <c r="G388" s="11"/>
      <c r="H388" s="10"/>
      <c r="I388" s="12"/>
      <c r="J388" s="13" t="str">
        <f aca="true">IF(D388="","",IF(H388="完了","✓ DONE",IF(G388="","⚠ NO DUE",IF(G388&lt;TODAY(),"🔴 OVERDUE",IF(G388=TODAY(),"🟡 TODAY","")))))</f>
        <v/>
      </c>
      <c r="K388" s="14"/>
      <c r="L388" s="15" t="str">
        <f aca="false">IF(A388="","",SUMIFS(工数ログ!$E$4:$E$1003,工数ログ!$D$4:$D$1003,$A388))</f>
        <v/>
      </c>
      <c r="M388" s="9"/>
      <c r="N388" s="9"/>
      <c r="O388" s="11"/>
      <c r="P388" s="11"/>
      <c r="Q388" s="2"/>
      <c r="R388" s="2"/>
    </row>
    <row r="389" customFormat="false" ht="15" hidden="false" customHeight="false" outlineLevel="0" collapsed="false">
      <c r="A389" s="6" t="str">
        <f aca="false">IF(D389="","",ROW()-3)</f>
        <v/>
      </c>
      <c r="B389" s="7" t="str">
        <f aca="false">IF($C389="","",IFERROR(INDEX(案件マスタ!$A$4:$A$23,MATCH($C389,案件マスタ!$B$4:$B$23,0)),"?"))</f>
        <v/>
      </c>
      <c r="C389" s="8"/>
      <c r="D389" s="9"/>
      <c r="E389" s="10"/>
      <c r="F389" s="11"/>
      <c r="G389" s="11"/>
      <c r="H389" s="10"/>
      <c r="I389" s="12"/>
      <c r="J389" s="13" t="str">
        <f aca="true">IF(D389="","",IF(H389="完了","✓ DONE",IF(G389="","⚠ NO DUE",IF(G389&lt;TODAY(),"🔴 OVERDUE",IF(G389=TODAY(),"🟡 TODAY","")))))</f>
        <v/>
      </c>
      <c r="K389" s="14"/>
      <c r="L389" s="15" t="str">
        <f aca="false">IF(A389="","",SUMIFS(工数ログ!$E$4:$E$1003,工数ログ!$D$4:$D$1003,$A389))</f>
        <v/>
      </c>
      <c r="M389" s="9"/>
      <c r="N389" s="9"/>
      <c r="O389" s="11"/>
      <c r="P389" s="11"/>
      <c r="Q389" s="2"/>
      <c r="R389" s="2"/>
    </row>
    <row r="390" customFormat="false" ht="15" hidden="false" customHeight="false" outlineLevel="0" collapsed="false">
      <c r="A390" s="6" t="str">
        <f aca="false">IF(D390="","",ROW()-3)</f>
        <v/>
      </c>
      <c r="B390" s="7" t="str">
        <f aca="false">IF($C390="","",IFERROR(INDEX(案件マスタ!$A$4:$A$23,MATCH($C390,案件マスタ!$B$4:$B$23,0)),"?"))</f>
        <v/>
      </c>
      <c r="C390" s="8"/>
      <c r="D390" s="9"/>
      <c r="E390" s="10"/>
      <c r="F390" s="11"/>
      <c r="G390" s="11"/>
      <c r="H390" s="10"/>
      <c r="I390" s="12"/>
      <c r="J390" s="13" t="str">
        <f aca="true">IF(D390="","",IF(H390="完了","✓ DONE",IF(G390="","⚠ NO DUE",IF(G390&lt;TODAY(),"🔴 OVERDUE",IF(G390=TODAY(),"🟡 TODAY","")))))</f>
        <v/>
      </c>
      <c r="K390" s="14"/>
      <c r="L390" s="15" t="str">
        <f aca="false">IF(A390="","",SUMIFS(工数ログ!$E$4:$E$1003,工数ログ!$D$4:$D$1003,$A390))</f>
        <v/>
      </c>
      <c r="M390" s="9"/>
      <c r="N390" s="9"/>
      <c r="O390" s="11"/>
      <c r="P390" s="11"/>
      <c r="Q390" s="2"/>
      <c r="R390" s="2"/>
    </row>
    <row r="391" customFormat="false" ht="15" hidden="false" customHeight="false" outlineLevel="0" collapsed="false">
      <c r="A391" s="6" t="str">
        <f aca="false">IF(D391="","",ROW()-3)</f>
        <v/>
      </c>
      <c r="B391" s="7" t="str">
        <f aca="false">IF($C391="","",IFERROR(INDEX(案件マスタ!$A$4:$A$23,MATCH($C391,案件マスタ!$B$4:$B$23,0)),"?"))</f>
        <v/>
      </c>
      <c r="C391" s="8"/>
      <c r="D391" s="9"/>
      <c r="E391" s="10"/>
      <c r="F391" s="11"/>
      <c r="G391" s="11"/>
      <c r="H391" s="10"/>
      <c r="I391" s="12"/>
      <c r="J391" s="13" t="str">
        <f aca="true">IF(D391="","",IF(H391="完了","✓ DONE",IF(G391="","⚠ NO DUE",IF(G391&lt;TODAY(),"🔴 OVERDUE",IF(G391=TODAY(),"🟡 TODAY","")))))</f>
        <v/>
      </c>
      <c r="K391" s="14"/>
      <c r="L391" s="15" t="str">
        <f aca="false">IF(A391="","",SUMIFS(工数ログ!$E$4:$E$1003,工数ログ!$D$4:$D$1003,$A391))</f>
        <v/>
      </c>
      <c r="M391" s="9"/>
      <c r="N391" s="9"/>
      <c r="O391" s="11"/>
      <c r="P391" s="11"/>
      <c r="Q391" s="2"/>
      <c r="R391" s="2"/>
    </row>
    <row r="392" customFormat="false" ht="15" hidden="false" customHeight="false" outlineLevel="0" collapsed="false">
      <c r="A392" s="6" t="str">
        <f aca="false">IF(D392="","",ROW()-3)</f>
        <v/>
      </c>
      <c r="B392" s="7" t="str">
        <f aca="false">IF($C392="","",IFERROR(INDEX(案件マスタ!$A$4:$A$23,MATCH($C392,案件マスタ!$B$4:$B$23,0)),"?"))</f>
        <v/>
      </c>
      <c r="C392" s="8"/>
      <c r="D392" s="9"/>
      <c r="E392" s="10"/>
      <c r="F392" s="11"/>
      <c r="G392" s="11"/>
      <c r="H392" s="10"/>
      <c r="I392" s="12"/>
      <c r="J392" s="13" t="str">
        <f aca="true">IF(D392="","",IF(H392="完了","✓ DONE",IF(G392="","⚠ NO DUE",IF(G392&lt;TODAY(),"🔴 OVERDUE",IF(G392=TODAY(),"🟡 TODAY","")))))</f>
        <v/>
      </c>
      <c r="K392" s="14"/>
      <c r="L392" s="15" t="str">
        <f aca="false">IF(A392="","",SUMIFS(工数ログ!$E$4:$E$1003,工数ログ!$D$4:$D$1003,$A392))</f>
        <v/>
      </c>
      <c r="M392" s="9"/>
      <c r="N392" s="9"/>
      <c r="O392" s="11"/>
      <c r="P392" s="11"/>
      <c r="Q392" s="2"/>
      <c r="R392" s="2"/>
    </row>
    <row r="393" customFormat="false" ht="15" hidden="false" customHeight="false" outlineLevel="0" collapsed="false">
      <c r="A393" s="6" t="str">
        <f aca="false">IF(D393="","",ROW()-3)</f>
        <v/>
      </c>
      <c r="B393" s="7" t="str">
        <f aca="false">IF($C393="","",IFERROR(INDEX(案件マスタ!$A$4:$A$23,MATCH($C393,案件マスタ!$B$4:$B$23,0)),"?"))</f>
        <v/>
      </c>
      <c r="C393" s="8"/>
      <c r="D393" s="9"/>
      <c r="E393" s="10"/>
      <c r="F393" s="11"/>
      <c r="G393" s="11"/>
      <c r="H393" s="10"/>
      <c r="I393" s="12"/>
      <c r="J393" s="13" t="str">
        <f aca="true">IF(D393="","",IF(H393="完了","✓ DONE",IF(G393="","⚠ NO DUE",IF(G393&lt;TODAY(),"🔴 OVERDUE",IF(G393=TODAY(),"🟡 TODAY","")))))</f>
        <v/>
      </c>
      <c r="K393" s="14"/>
      <c r="L393" s="15" t="str">
        <f aca="false">IF(A393="","",SUMIFS(工数ログ!$E$4:$E$1003,工数ログ!$D$4:$D$1003,$A393))</f>
        <v/>
      </c>
      <c r="M393" s="9"/>
      <c r="N393" s="9"/>
      <c r="O393" s="11"/>
      <c r="P393" s="11"/>
      <c r="Q393" s="2"/>
      <c r="R393" s="2"/>
    </row>
    <row r="394" customFormat="false" ht="15" hidden="false" customHeight="false" outlineLevel="0" collapsed="false">
      <c r="A394" s="6" t="str">
        <f aca="false">IF(D394="","",ROW()-3)</f>
        <v/>
      </c>
      <c r="B394" s="7" t="str">
        <f aca="false">IF($C394="","",IFERROR(INDEX(案件マスタ!$A$4:$A$23,MATCH($C394,案件マスタ!$B$4:$B$23,0)),"?"))</f>
        <v/>
      </c>
      <c r="C394" s="8"/>
      <c r="D394" s="9"/>
      <c r="E394" s="10"/>
      <c r="F394" s="11"/>
      <c r="G394" s="11"/>
      <c r="H394" s="10"/>
      <c r="I394" s="12"/>
      <c r="J394" s="13" t="str">
        <f aca="true">IF(D394="","",IF(H394="完了","✓ DONE",IF(G394="","⚠ NO DUE",IF(G394&lt;TODAY(),"🔴 OVERDUE",IF(G394=TODAY(),"🟡 TODAY","")))))</f>
        <v/>
      </c>
      <c r="K394" s="14"/>
      <c r="L394" s="15" t="str">
        <f aca="false">IF(A394="","",SUMIFS(工数ログ!$E$4:$E$1003,工数ログ!$D$4:$D$1003,$A394))</f>
        <v/>
      </c>
      <c r="M394" s="9"/>
      <c r="N394" s="9"/>
      <c r="O394" s="11"/>
      <c r="P394" s="11"/>
      <c r="Q394" s="2"/>
      <c r="R394" s="2"/>
    </row>
    <row r="395" customFormat="false" ht="15" hidden="false" customHeight="false" outlineLevel="0" collapsed="false">
      <c r="A395" s="6" t="str">
        <f aca="false">IF(D395="","",ROW()-3)</f>
        <v/>
      </c>
      <c r="B395" s="7" t="str">
        <f aca="false">IF($C395="","",IFERROR(INDEX(案件マスタ!$A$4:$A$23,MATCH($C395,案件マスタ!$B$4:$B$23,0)),"?"))</f>
        <v/>
      </c>
      <c r="C395" s="8"/>
      <c r="D395" s="9"/>
      <c r="E395" s="10"/>
      <c r="F395" s="11"/>
      <c r="G395" s="11"/>
      <c r="H395" s="10"/>
      <c r="I395" s="12"/>
      <c r="J395" s="13" t="str">
        <f aca="true">IF(D395="","",IF(H395="完了","✓ DONE",IF(G395="","⚠ NO DUE",IF(G395&lt;TODAY(),"🔴 OVERDUE",IF(G395=TODAY(),"🟡 TODAY","")))))</f>
        <v/>
      </c>
      <c r="K395" s="14"/>
      <c r="L395" s="15" t="str">
        <f aca="false">IF(A395="","",SUMIFS(工数ログ!$E$4:$E$1003,工数ログ!$D$4:$D$1003,$A395))</f>
        <v/>
      </c>
      <c r="M395" s="9"/>
      <c r="N395" s="9"/>
      <c r="O395" s="11"/>
      <c r="P395" s="11"/>
      <c r="Q395" s="2"/>
      <c r="R395" s="2"/>
    </row>
    <row r="396" customFormat="false" ht="15" hidden="false" customHeight="false" outlineLevel="0" collapsed="false">
      <c r="A396" s="6" t="str">
        <f aca="false">IF(D396="","",ROW()-3)</f>
        <v/>
      </c>
      <c r="B396" s="7" t="str">
        <f aca="false">IF($C396="","",IFERROR(INDEX(案件マスタ!$A$4:$A$23,MATCH($C396,案件マスタ!$B$4:$B$23,0)),"?"))</f>
        <v/>
      </c>
      <c r="C396" s="8"/>
      <c r="D396" s="9"/>
      <c r="E396" s="10"/>
      <c r="F396" s="11"/>
      <c r="G396" s="11"/>
      <c r="H396" s="10"/>
      <c r="I396" s="12"/>
      <c r="J396" s="13" t="str">
        <f aca="true">IF(D396="","",IF(H396="完了","✓ DONE",IF(G396="","⚠ NO DUE",IF(G396&lt;TODAY(),"🔴 OVERDUE",IF(G396=TODAY(),"🟡 TODAY","")))))</f>
        <v/>
      </c>
      <c r="K396" s="14"/>
      <c r="L396" s="15" t="str">
        <f aca="false">IF(A396="","",SUMIFS(工数ログ!$E$4:$E$1003,工数ログ!$D$4:$D$1003,$A396))</f>
        <v/>
      </c>
      <c r="M396" s="9"/>
      <c r="N396" s="9"/>
      <c r="O396" s="11"/>
      <c r="P396" s="11"/>
      <c r="Q396" s="2"/>
      <c r="R396" s="2"/>
    </row>
    <row r="397" customFormat="false" ht="15" hidden="false" customHeight="false" outlineLevel="0" collapsed="false">
      <c r="A397" s="6" t="str">
        <f aca="false">IF(D397="","",ROW()-3)</f>
        <v/>
      </c>
      <c r="B397" s="7" t="str">
        <f aca="false">IF($C397="","",IFERROR(INDEX(案件マスタ!$A$4:$A$23,MATCH($C397,案件マスタ!$B$4:$B$23,0)),"?"))</f>
        <v/>
      </c>
      <c r="C397" s="8"/>
      <c r="D397" s="9"/>
      <c r="E397" s="10"/>
      <c r="F397" s="11"/>
      <c r="G397" s="11"/>
      <c r="H397" s="10"/>
      <c r="I397" s="12"/>
      <c r="J397" s="13" t="str">
        <f aca="true">IF(D397="","",IF(H397="完了","✓ DONE",IF(G397="","⚠ NO DUE",IF(G397&lt;TODAY(),"🔴 OVERDUE",IF(G397=TODAY(),"🟡 TODAY","")))))</f>
        <v/>
      </c>
      <c r="K397" s="14"/>
      <c r="L397" s="15" t="str">
        <f aca="false">IF(A397="","",SUMIFS(工数ログ!$E$4:$E$1003,工数ログ!$D$4:$D$1003,$A397))</f>
        <v/>
      </c>
      <c r="M397" s="9"/>
      <c r="N397" s="9"/>
      <c r="O397" s="11"/>
      <c r="P397" s="11"/>
      <c r="Q397" s="2"/>
      <c r="R397" s="2"/>
    </row>
    <row r="398" customFormat="false" ht="15" hidden="false" customHeight="false" outlineLevel="0" collapsed="false">
      <c r="A398" s="6" t="str">
        <f aca="false">IF(D398="","",ROW()-3)</f>
        <v/>
      </c>
      <c r="B398" s="7" t="str">
        <f aca="false">IF($C398="","",IFERROR(INDEX(案件マスタ!$A$4:$A$23,MATCH($C398,案件マスタ!$B$4:$B$23,0)),"?"))</f>
        <v/>
      </c>
      <c r="C398" s="8"/>
      <c r="D398" s="9"/>
      <c r="E398" s="10"/>
      <c r="F398" s="11"/>
      <c r="G398" s="11"/>
      <c r="H398" s="10"/>
      <c r="I398" s="12"/>
      <c r="J398" s="13" t="str">
        <f aca="true">IF(D398="","",IF(H398="完了","✓ DONE",IF(G398="","⚠ NO DUE",IF(G398&lt;TODAY(),"🔴 OVERDUE",IF(G398=TODAY(),"🟡 TODAY","")))))</f>
        <v/>
      </c>
      <c r="K398" s="14"/>
      <c r="L398" s="15" t="str">
        <f aca="false">IF(A398="","",SUMIFS(工数ログ!$E$4:$E$1003,工数ログ!$D$4:$D$1003,$A398))</f>
        <v/>
      </c>
      <c r="M398" s="9"/>
      <c r="N398" s="9"/>
      <c r="O398" s="11"/>
      <c r="P398" s="11"/>
      <c r="Q398" s="2"/>
      <c r="R398" s="2"/>
    </row>
    <row r="399" customFormat="false" ht="15" hidden="false" customHeight="false" outlineLevel="0" collapsed="false">
      <c r="A399" s="6" t="str">
        <f aca="false">IF(D399="","",ROW()-3)</f>
        <v/>
      </c>
      <c r="B399" s="7" t="str">
        <f aca="false">IF($C399="","",IFERROR(INDEX(案件マスタ!$A$4:$A$23,MATCH($C399,案件マスタ!$B$4:$B$23,0)),"?"))</f>
        <v/>
      </c>
      <c r="C399" s="8"/>
      <c r="D399" s="9"/>
      <c r="E399" s="10"/>
      <c r="F399" s="11"/>
      <c r="G399" s="11"/>
      <c r="H399" s="10"/>
      <c r="I399" s="12"/>
      <c r="J399" s="13" t="str">
        <f aca="true">IF(D399="","",IF(H399="完了","✓ DONE",IF(G399="","⚠ NO DUE",IF(G399&lt;TODAY(),"🔴 OVERDUE",IF(G399=TODAY(),"🟡 TODAY","")))))</f>
        <v/>
      </c>
      <c r="K399" s="14"/>
      <c r="L399" s="15" t="str">
        <f aca="false">IF(A399="","",SUMIFS(工数ログ!$E$4:$E$1003,工数ログ!$D$4:$D$1003,$A399))</f>
        <v/>
      </c>
      <c r="M399" s="9"/>
      <c r="N399" s="9"/>
      <c r="O399" s="11"/>
      <c r="P399" s="11"/>
      <c r="Q399" s="2"/>
      <c r="R399" s="2"/>
    </row>
    <row r="400" customFormat="false" ht="15" hidden="false" customHeight="false" outlineLevel="0" collapsed="false">
      <c r="A400" s="6" t="str">
        <f aca="false">IF(D400="","",ROW()-3)</f>
        <v/>
      </c>
      <c r="B400" s="7" t="str">
        <f aca="false">IF($C400="","",IFERROR(INDEX(案件マスタ!$A$4:$A$23,MATCH($C400,案件マスタ!$B$4:$B$23,0)),"?"))</f>
        <v/>
      </c>
      <c r="C400" s="8"/>
      <c r="D400" s="9"/>
      <c r="E400" s="10"/>
      <c r="F400" s="11"/>
      <c r="G400" s="11"/>
      <c r="H400" s="10"/>
      <c r="I400" s="12"/>
      <c r="J400" s="13" t="str">
        <f aca="true">IF(D400="","",IF(H400="完了","✓ DONE",IF(G400="","⚠ NO DUE",IF(G400&lt;TODAY(),"🔴 OVERDUE",IF(G400=TODAY(),"🟡 TODAY","")))))</f>
        <v/>
      </c>
      <c r="K400" s="14"/>
      <c r="L400" s="15" t="str">
        <f aca="false">IF(A400="","",SUMIFS(工数ログ!$E$4:$E$1003,工数ログ!$D$4:$D$1003,$A400))</f>
        <v/>
      </c>
      <c r="M400" s="9"/>
      <c r="N400" s="9"/>
      <c r="O400" s="11"/>
      <c r="P400" s="11"/>
      <c r="Q400" s="2"/>
      <c r="R400" s="2"/>
    </row>
    <row r="401" customFormat="false" ht="15" hidden="false" customHeight="false" outlineLevel="0" collapsed="false">
      <c r="A401" s="6" t="str">
        <f aca="false">IF(D401="","",ROW()-3)</f>
        <v/>
      </c>
      <c r="B401" s="7" t="str">
        <f aca="false">IF($C401="","",IFERROR(INDEX(案件マスタ!$A$4:$A$23,MATCH($C401,案件マスタ!$B$4:$B$23,0)),"?"))</f>
        <v/>
      </c>
      <c r="C401" s="8"/>
      <c r="D401" s="9"/>
      <c r="E401" s="10"/>
      <c r="F401" s="11"/>
      <c r="G401" s="11"/>
      <c r="H401" s="10"/>
      <c r="I401" s="12"/>
      <c r="J401" s="13" t="str">
        <f aca="true">IF(D401="","",IF(H401="完了","✓ DONE",IF(G401="","⚠ NO DUE",IF(G401&lt;TODAY(),"🔴 OVERDUE",IF(G401=TODAY(),"🟡 TODAY","")))))</f>
        <v/>
      </c>
      <c r="K401" s="14"/>
      <c r="L401" s="15" t="str">
        <f aca="false">IF(A401="","",SUMIFS(工数ログ!$E$4:$E$1003,工数ログ!$D$4:$D$1003,$A401))</f>
        <v/>
      </c>
      <c r="M401" s="9"/>
      <c r="N401" s="9"/>
      <c r="O401" s="11"/>
      <c r="P401" s="11"/>
      <c r="Q401" s="2"/>
      <c r="R401" s="2"/>
    </row>
    <row r="402" customFormat="false" ht="15" hidden="false" customHeight="false" outlineLevel="0" collapsed="false">
      <c r="A402" s="6" t="str">
        <f aca="false">IF(D402="","",ROW()-3)</f>
        <v/>
      </c>
      <c r="B402" s="7" t="str">
        <f aca="false">IF($C402="","",IFERROR(INDEX(案件マスタ!$A$4:$A$23,MATCH($C402,案件マスタ!$B$4:$B$23,0)),"?"))</f>
        <v/>
      </c>
      <c r="C402" s="8"/>
      <c r="D402" s="9"/>
      <c r="E402" s="10"/>
      <c r="F402" s="11"/>
      <c r="G402" s="11"/>
      <c r="H402" s="10"/>
      <c r="I402" s="12"/>
      <c r="J402" s="13" t="str">
        <f aca="true">IF(D402="","",IF(H402="完了","✓ DONE",IF(G402="","⚠ NO DUE",IF(G402&lt;TODAY(),"🔴 OVERDUE",IF(G402=TODAY(),"🟡 TODAY","")))))</f>
        <v/>
      </c>
      <c r="K402" s="14"/>
      <c r="L402" s="15" t="str">
        <f aca="false">IF(A402="","",SUMIFS(工数ログ!$E$4:$E$1003,工数ログ!$D$4:$D$1003,$A402))</f>
        <v/>
      </c>
      <c r="M402" s="9"/>
      <c r="N402" s="9"/>
      <c r="O402" s="11"/>
      <c r="P402" s="11"/>
      <c r="Q402" s="2"/>
      <c r="R402" s="2"/>
    </row>
    <row r="403" customFormat="false" ht="15" hidden="false" customHeight="false" outlineLevel="0" collapsed="false">
      <c r="A403" s="6" t="str">
        <f aca="false">IF(D403="","",ROW()-3)</f>
        <v/>
      </c>
      <c r="B403" s="7" t="str">
        <f aca="false">IF($C403="","",IFERROR(INDEX(案件マスタ!$A$4:$A$23,MATCH($C403,案件マスタ!$B$4:$B$23,0)),"?"))</f>
        <v/>
      </c>
      <c r="C403" s="8"/>
      <c r="D403" s="9"/>
      <c r="E403" s="10"/>
      <c r="F403" s="11"/>
      <c r="G403" s="11"/>
      <c r="H403" s="10"/>
      <c r="I403" s="12"/>
      <c r="J403" s="13" t="str">
        <f aca="true">IF(D403="","",IF(H403="完了","✓ DONE",IF(G403="","⚠ NO DUE",IF(G403&lt;TODAY(),"🔴 OVERDUE",IF(G403=TODAY(),"🟡 TODAY","")))))</f>
        <v/>
      </c>
      <c r="K403" s="14"/>
      <c r="L403" s="15" t="str">
        <f aca="false">IF(A403="","",SUMIFS(工数ログ!$E$4:$E$1003,工数ログ!$D$4:$D$1003,$A403))</f>
        <v/>
      </c>
      <c r="M403" s="9"/>
      <c r="N403" s="9"/>
      <c r="O403" s="11"/>
      <c r="P403" s="11"/>
      <c r="Q403" s="2"/>
      <c r="R403" s="2"/>
    </row>
    <row r="404" customFormat="false" ht="15" hidden="false" customHeight="false" outlineLevel="0" collapsed="false">
      <c r="A404" s="6" t="str">
        <f aca="false">IF(D404="","",ROW()-3)</f>
        <v/>
      </c>
      <c r="B404" s="7" t="str">
        <f aca="false">IF($C404="","",IFERROR(INDEX(案件マスタ!$A$4:$A$23,MATCH($C404,案件マスタ!$B$4:$B$23,0)),"?"))</f>
        <v/>
      </c>
      <c r="C404" s="8"/>
      <c r="D404" s="9"/>
      <c r="E404" s="10"/>
      <c r="F404" s="11"/>
      <c r="G404" s="11"/>
      <c r="H404" s="10"/>
      <c r="I404" s="12"/>
      <c r="J404" s="13" t="str">
        <f aca="true">IF(D404="","",IF(H404="完了","✓ DONE",IF(G404="","⚠ NO DUE",IF(G404&lt;TODAY(),"🔴 OVERDUE",IF(G404=TODAY(),"🟡 TODAY","")))))</f>
        <v/>
      </c>
      <c r="K404" s="14"/>
      <c r="L404" s="15" t="str">
        <f aca="false">IF(A404="","",SUMIFS(工数ログ!$E$4:$E$1003,工数ログ!$D$4:$D$1003,$A404))</f>
        <v/>
      </c>
      <c r="M404" s="9"/>
      <c r="N404" s="9"/>
      <c r="O404" s="11"/>
      <c r="P404" s="11"/>
      <c r="Q404" s="2"/>
      <c r="R404" s="2"/>
    </row>
    <row r="405" customFormat="false" ht="15" hidden="false" customHeight="false" outlineLevel="0" collapsed="false">
      <c r="A405" s="6" t="str">
        <f aca="false">IF(D405="","",ROW()-3)</f>
        <v/>
      </c>
      <c r="B405" s="7" t="str">
        <f aca="false">IF($C405="","",IFERROR(INDEX(案件マスタ!$A$4:$A$23,MATCH($C405,案件マスタ!$B$4:$B$23,0)),"?"))</f>
        <v/>
      </c>
      <c r="C405" s="8"/>
      <c r="D405" s="9"/>
      <c r="E405" s="10"/>
      <c r="F405" s="11"/>
      <c r="G405" s="11"/>
      <c r="H405" s="10"/>
      <c r="I405" s="12"/>
      <c r="J405" s="13" t="str">
        <f aca="true">IF(D405="","",IF(H405="完了","✓ DONE",IF(G405="","⚠ NO DUE",IF(G405&lt;TODAY(),"🔴 OVERDUE",IF(G405=TODAY(),"🟡 TODAY","")))))</f>
        <v/>
      </c>
      <c r="K405" s="14"/>
      <c r="L405" s="15" t="str">
        <f aca="false">IF(A405="","",SUMIFS(工数ログ!$E$4:$E$1003,工数ログ!$D$4:$D$1003,$A405))</f>
        <v/>
      </c>
      <c r="M405" s="9"/>
      <c r="N405" s="9"/>
      <c r="O405" s="11"/>
      <c r="P405" s="11"/>
      <c r="Q405" s="2"/>
      <c r="R405" s="2"/>
    </row>
    <row r="406" customFormat="false" ht="15" hidden="false" customHeight="false" outlineLevel="0" collapsed="false">
      <c r="A406" s="6" t="str">
        <f aca="false">IF(D406="","",ROW()-3)</f>
        <v/>
      </c>
      <c r="B406" s="7" t="str">
        <f aca="false">IF($C406="","",IFERROR(INDEX(案件マスタ!$A$4:$A$23,MATCH($C406,案件マスタ!$B$4:$B$23,0)),"?"))</f>
        <v/>
      </c>
      <c r="C406" s="8"/>
      <c r="D406" s="9"/>
      <c r="E406" s="10"/>
      <c r="F406" s="11"/>
      <c r="G406" s="11"/>
      <c r="H406" s="10"/>
      <c r="I406" s="12"/>
      <c r="J406" s="13" t="str">
        <f aca="true">IF(D406="","",IF(H406="完了","✓ DONE",IF(G406="","⚠ NO DUE",IF(G406&lt;TODAY(),"🔴 OVERDUE",IF(G406=TODAY(),"🟡 TODAY","")))))</f>
        <v/>
      </c>
      <c r="K406" s="14"/>
      <c r="L406" s="15" t="str">
        <f aca="false">IF(A406="","",SUMIFS(工数ログ!$E$4:$E$1003,工数ログ!$D$4:$D$1003,$A406))</f>
        <v/>
      </c>
      <c r="M406" s="9"/>
      <c r="N406" s="9"/>
      <c r="O406" s="11"/>
      <c r="P406" s="11"/>
      <c r="Q406" s="2"/>
      <c r="R406" s="2"/>
    </row>
    <row r="407" customFormat="false" ht="15" hidden="false" customHeight="false" outlineLevel="0" collapsed="false">
      <c r="A407" s="6" t="str">
        <f aca="false">IF(D407="","",ROW()-3)</f>
        <v/>
      </c>
      <c r="B407" s="7" t="str">
        <f aca="false">IF($C407="","",IFERROR(INDEX(案件マスタ!$A$4:$A$23,MATCH($C407,案件マスタ!$B$4:$B$23,0)),"?"))</f>
        <v/>
      </c>
      <c r="C407" s="8"/>
      <c r="D407" s="9"/>
      <c r="E407" s="10"/>
      <c r="F407" s="11"/>
      <c r="G407" s="11"/>
      <c r="H407" s="10"/>
      <c r="I407" s="12"/>
      <c r="J407" s="13" t="str">
        <f aca="true">IF(D407="","",IF(H407="完了","✓ DONE",IF(G407="","⚠ NO DUE",IF(G407&lt;TODAY(),"🔴 OVERDUE",IF(G407=TODAY(),"🟡 TODAY","")))))</f>
        <v/>
      </c>
      <c r="K407" s="14"/>
      <c r="L407" s="15" t="str">
        <f aca="false">IF(A407="","",SUMIFS(工数ログ!$E$4:$E$1003,工数ログ!$D$4:$D$1003,$A407))</f>
        <v/>
      </c>
      <c r="M407" s="9"/>
      <c r="N407" s="9"/>
      <c r="O407" s="11"/>
      <c r="P407" s="11"/>
      <c r="Q407" s="2"/>
      <c r="R407" s="2"/>
    </row>
    <row r="408" customFormat="false" ht="15" hidden="false" customHeight="false" outlineLevel="0" collapsed="false">
      <c r="A408" s="6" t="str">
        <f aca="false">IF(D408="","",ROW()-3)</f>
        <v/>
      </c>
      <c r="B408" s="7" t="str">
        <f aca="false">IF($C408="","",IFERROR(INDEX(案件マスタ!$A$4:$A$23,MATCH($C408,案件マスタ!$B$4:$B$23,0)),"?"))</f>
        <v/>
      </c>
      <c r="C408" s="8"/>
      <c r="D408" s="9"/>
      <c r="E408" s="10"/>
      <c r="F408" s="11"/>
      <c r="G408" s="11"/>
      <c r="H408" s="10"/>
      <c r="I408" s="12"/>
      <c r="J408" s="13" t="str">
        <f aca="true">IF(D408="","",IF(H408="完了","✓ DONE",IF(G408="","⚠ NO DUE",IF(G408&lt;TODAY(),"🔴 OVERDUE",IF(G408=TODAY(),"🟡 TODAY","")))))</f>
        <v/>
      </c>
      <c r="K408" s="14"/>
      <c r="L408" s="15" t="str">
        <f aca="false">IF(A408="","",SUMIFS(工数ログ!$E$4:$E$1003,工数ログ!$D$4:$D$1003,$A408))</f>
        <v/>
      </c>
      <c r="M408" s="9"/>
      <c r="N408" s="9"/>
      <c r="O408" s="11"/>
      <c r="P408" s="11"/>
      <c r="Q408" s="2"/>
      <c r="R408" s="2"/>
    </row>
    <row r="409" customFormat="false" ht="15" hidden="false" customHeight="false" outlineLevel="0" collapsed="false">
      <c r="A409" s="6" t="str">
        <f aca="false">IF(D409="","",ROW()-3)</f>
        <v/>
      </c>
      <c r="B409" s="7" t="str">
        <f aca="false">IF($C409="","",IFERROR(INDEX(案件マスタ!$A$4:$A$23,MATCH($C409,案件マスタ!$B$4:$B$23,0)),"?"))</f>
        <v/>
      </c>
      <c r="C409" s="8"/>
      <c r="D409" s="9"/>
      <c r="E409" s="10"/>
      <c r="F409" s="11"/>
      <c r="G409" s="11"/>
      <c r="H409" s="10"/>
      <c r="I409" s="12"/>
      <c r="J409" s="13" t="str">
        <f aca="true">IF(D409="","",IF(H409="完了","✓ DONE",IF(G409="","⚠ NO DUE",IF(G409&lt;TODAY(),"🔴 OVERDUE",IF(G409=TODAY(),"🟡 TODAY","")))))</f>
        <v/>
      </c>
      <c r="K409" s="14"/>
      <c r="L409" s="15" t="str">
        <f aca="false">IF(A409="","",SUMIFS(工数ログ!$E$4:$E$1003,工数ログ!$D$4:$D$1003,$A409))</f>
        <v/>
      </c>
      <c r="M409" s="9"/>
      <c r="N409" s="9"/>
      <c r="O409" s="11"/>
      <c r="P409" s="11"/>
      <c r="Q409" s="2"/>
      <c r="R409" s="2"/>
    </row>
    <row r="410" customFormat="false" ht="15" hidden="false" customHeight="false" outlineLevel="0" collapsed="false">
      <c r="A410" s="6" t="str">
        <f aca="false">IF(D410="","",ROW()-3)</f>
        <v/>
      </c>
      <c r="B410" s="7" t="str">
        <f aca="false">IF($C410="","",IFERROR(INDEX(案件マスタ!$A$4:$A$23,MATCH($C410,案件マスタ!$B$4:$B$23,0)),"?"))</f>
        <v/>
      </c>
      <c r="C410" s="8"/>
      <c r="D410" s="9"/>
      <c r="E410" s="10"/>
      <c r="F410" s="11"/>
      <c r="G410" s="11"/>
      <c r="H410" s="10"/>
      <c r="I410" s="12"/>
      <c r="J410" s="13" t="str">
        <f aca="true">IF(D410="","",IF(H410="完了","✓ DONE",IF(G410="","⚠ NO DUE",IF(G410&lt;TODAY(),"🔴 OVERDUE",IF(G410=TODAY(),"🟡 TODAY","")))))</f>
        <v/>
      </c>
      <c r="K410" s="14"/>
      <c r="L410" s="15" t="str">
        <f aca="false">IF(A410="","",SUMIFS(工数ログ!$E$4:$E$1003,工数ログ!$D$4:$D$1003,$A410))</f>
        <v/>
      </c>
      <c r="M410" s="9"/>
      <c r="N410" s="9"/>
      <c r="O410" s="11"/>
      <c r="P410" s="11"/>
      <c r="Q410" s="2"/>
      <c r="R410" s="2"/>
    </row>
    <row r="411" customFormat="false" ht="15" hidden="false" customHeight="false" outlineLevel="0" collapsed="false">
      <c r="A411" s="6" t="str">
        <f aca="false">IF(D411="","",ROW()-3)</f>
        <v/>
      </c>
      <c r="B411" s="7" t="str">
        <f aca="false">IF($C411="","",IFERROR(INDEX(案件マスタ!$A$4:$A$23,MATCH($C411,案件マスタ!$B$4:$B$23,0)),"?"))</f>
        <v/>
      </c>
      <c r="C411" s="8"/>
      <c r="D411" s="9"/>
      <c r="E411" s="10"/>
      <c r="F411" s="11"/>
      <c r="G411" s="11"/>
      <c r="H411" s="10"/>
      <c r="I411" s="12"/>
      <c r="J411" s="13" t="str">
        <f aca="true">IF(D411="","",IF(H411="完了","✓ DONE",IF(G411="","⚠ NO DUE",IF(G411&lt;TODAY(),"🔴 OVERDUE",IF(G411=TODAY(),"🟡 TODAY","")))))</f>
        <v/>
      </c>
      <c r="K411" s="14"/>
      <c r="L411" s="15" t="str">
        <f aca="false">IF(A411="","",SUMIFS(工数ログ!$E$4:$E$1003,工数ログ!$D$4:$D$1003,$A411))</f>
        <v/>
      </c>
      <c r="M411" s="9"/>
      <c r="N411" s="9"/>
      <c r="O411" s="11"/>
      <c r="P411" s="11"/>
      <c r="Q411" s="2"/>
      <c r="R411" s="2"/>
    </row>
    <row r="412" customFormat="false" ht="15" hidden="false" customHeight="false" outlineLevel="0" collapsed="false">
      <c r="A412" s="6" t="str">
        <f aca="false">IF(D412="","",ROW()-3)</f>
        <v/>
      </c>
      <c r="B412" s="7" t="str">
        <f aca="false">IF($C412="","",IFERROR(INDEX(案件マスタ!$A$4:$A$23,MATCH($C412,案件マスタ!$B$4:$B$23,0)),"?"))</f>
        <v/>
      </c>
      <c r="C412" s="8"/>
      <c r="D412" s="9"/>
      <c r="E412" s="10"/>
      <c r="F412" s="11"/>
      <c r="G412" s="11"/>
      <c r="H412" s="10"/>
      <c r="I412" s="12"/>
      <c r="J412" s="13" t="str">
        <f aca="true">IF(D412="","",IF(H412="完了","✓ DONE",IF(G412="","⚠ NO DUE",IF(G412&lt;TODAY(),"🔴 OVERDUE",IF(G412=TODAY(),"🟡 TODAY","")))))</f>
        <v/>
      </c>
      <c r="K412" s="14"/>
      <c r="L412" s="15" t="str">
        <f aca="false">IF(A412="","",SUMIFS(工数ログ!$E$4:$E$1003,工数ログ!$D$4:$D$1003,$A412))</f>
        <v/>
      </c>
      <c r="M412" s="9"/>
      <c r="N412" s="9"/>
      <c r="O412" s="11"/>
      <c r="P412" s="11"/>
      <c r="Q412" s="2"/>
      <c r="R412" s="2"/>
    </row>
    <row r="413" customFormat="false" ht="15" hidden="false" customHeight="false" outlineLevel="0" collapsed="false">
      <c r="A413" s="6" t="str">
        <f aca="false">IF(D413="","",ROW()-3)</f>
        <v/>
      </c>
      <c r="B413" s="7" t="str">
        <f aca="false">IF($C413="","",IFERROR(INDEX(案件マスタ!$A$4:$A$23,MATCH($C413,案件マスタ!$B$4:$B$23,0)),"?"))</f>
        <v/>
      </c>
      <c r="C413" s="8"/>
      <c r="D413" s="9"/>
      <c r="E413" s="10"/>
      <c r="F413" s="11"/>
      <c r="G413" s="11"/>
      <c r="H413" s="10"/>
      <c r="I413" s="12"/>
      <c r="J413" s="13" t="str">
        <f aca="true">IF(D413="","",IF(H413="完了","✓ DONE",IF(G413="","⚠ NO DUE",IF(G413&lt;TODAY(),"🔴 OVERDUE",IF(G413=TODAY(),"🟡 TODAY","")))))</f>
        <v/>
      </c>
      <c r="K413" s="14"/>
      <c r="L413" s="15" t="str">
        <f aca="false">IF(A413="","",SUMIFS(工数ログ!$E$4:$E$1003,工数ログ!$D$4:$D$1003,$A413))</f>
        <v/>
      </c>
      <c r="M413" s="9"/>
      <c r="N413" s="9"/>
      <c r="O413" s="11"/>
      <c r="P413" s="11"/>
      <c r="Q413" s="2"/>
      <c r="R413" s="2"/>
    </row>
    <row r="414" customFormat="false" ht="15" hidden="false" customHeight="false" outlineLevel="0" collapsed="false">
      <c r="A414" s="6" t="str">
        <f aca="false">IF(D414="","",ROW()-3)</f>
        <v/>
      </c>
      <c r="B414" s="7" t="str">
        <f aca="false">IF($C414="","",IFERROR(INDEX(案件マスタ!$A$4:$A$23,MATCH($C414,案件マスタ!$B$4:$B$23,0)),"?"))</f>
        <v/>
      </c>
      <c r="C414" s="8"/>
      <c r="D414" s="9"/>
      <c r="E414" s="10"/>
      <c r="F414" s="11"/>
      <c r="G414" s="11"/>
      <c r="H414" s="10"/>
      <c r="I414" s="12"/>
      <c r="J414" s="13" t="str">
        <f aca="true">IF(D414="","",IF(H414="完了","✓ DONE",IF(G414="","⚠ NO DUE",IF(G414&lt;TODAY(),"🔴 OVERDUE",IF(G414=TODAY(),"🟡 TODAY","")))))</f>
        <v/>
      </c>
      <c r="K414" s="14"/>
      <c r="L414" s="15" t="str">
        <f aca="false">IF(A414="","",SUMIFS(工数ログ!$E$4:$E$1003,工数ログ!$D$4:$D$1003,$A414))</f>
        <v/>
      </c>
      <c r="M414" s="9"/>
      <c r="N414" s="9"/>
      <c r="O414" s="11"/>
      <c r="P414" s="11"/>
      <c r="Q414" s="2"/>
      <c r="R414" s="2"/>
    </row>
    <row r="415" customFormat="false" ht="15" hidden="false" customHeight="false" outlineLevel="0" collapsed="false">
      <c r="A415" s="6" t="str">
        <f aca="false">IF(D415="","",ROW()-3)</f>
        <v/>
      </c>
      <c r="B415" s="7" t="str">
        <f aca="false">IF($C415="","",IFERROR(INDEX(案件マスタ!$A$4:$A$23,MATCH($C415,案件マスタ!$B$4:$B$23,0)),"?"))</f>
        <v/>
      </c>
      <c r="C415" s="8"/>
      <c r="D415" s="9"/>
      <c r="E415" s="10"/>
      <c r="F415" s="11"/>
      <c r="G415" s="11"/>
      <c r="H415" s="10"/>
      <c r="I415" s="12"/>
      <c r="J415" s="13" t="str">
        <f aca="true">IF(D415="","",IF(H415="完了","✓ DONE",IF(G415="","⚠ NO DUE",IF(G415&lt;TODAY(),"🔴 OVERDUE",IF(G415=TODAY(),"🟡 TODAY","")))))</f>
        <v/>
      </c>
      <c r="K415" s="14"/>
      <c r="L415" s="15" t="str">
        <f aca="false">IF(A415="","",SUMIFS(工数ログ!$E$4:$E$1003,工数ログ!$D$4:$D$1003,$A415))</f>
        <v/>
      </c>
      <c r="M415" s="9"/>
      <c r="N415" s="9"/>
      <c r="O415" s="11"/>
      <c r="P415" s="11"/>
      <c r="Q415" s="2"/>
      <c r="R415" s="2"/>
    </row>
    <row r="416" customFormat="false" ht="15" hidden="false" customHeight="false" outlineLevel="0" collapsed="false">
      <c r="A416" s="6" t="str">
        <f aca="false">IF(D416="","",ROW()-3)</f>
        <v/>
      </c>
      <c r="B416" s="7" t="str">
        <f aca="false">IF($C416="","",IFERROR(INDEX(案件マスタ!$A$4:$A$23,MATCH($C416,案件マスタ!$B$4:$B$23,0)),"?"))</f>
        <v/>
      </c>
      <c r="C416" s="8"/>
      <c r="D416" s="9"/>
      <c r="E416" s="10"/>
      <c r="F416" s="11"/>
      <c r="G416" s="11"/>
      <c r="H416" s="10"/>
      <c r="I416" s="12"/>
      <c r="J416" s="13" t="str">
        <f aca="true">IF(D416="","",IF(H416="完了","✓ DONE",IF(G416="","⚠ NO DUE",IF(G416&lt;TODAY(),"🔴 OVERDUE",IF(G416=TODAY(),"🟡 TODAY","")))))</f>
        <v/>
      </c>
      <c r="K416" s="14"/>
      <c r="L416" s="15" t="str">
        <f aca="false">IF(A416="","",SUMIFS(工数ログ!$E$4:$E$1003,工数ログ!$D$4:$D$1003,$A416))</f>
        <v/>
      </c>
      <c r="M416" s="9"/>
      <c r="N416" s="9"/>
      <c r="O416" s="11"/>
      <c r="P416" s="11"/>
      <c r="Q416" s="2"/>
      <c r="R416" s="2"/>
    </row>
    <row r="417" customFormat="false" ht="15" hidden="false" customHeight="false" outlineLevel="0" collapsed="false">
      <c r="A417" s="6" t="str">
        <f aca="false">IF(D417="","",ROW()-3)</f>
        <v/>
      </c>
      <c r="B417" s="7" t="str">
        <f aca="false">IF($C417="","",IFERROR(INDEX(案件マスタ!$A$4:$A$23,MATCH($C417,案件マスタ!$B$4:$B$23,0)),"?"))</f>
        <v/>
      </c>
      <c r="C417" s="8"/>
      <c r="D417" s="9"/>
      <c r="E417" s="10"/>
      <c r="F417" s="11"/>
      <c r="G417" s="11"/>
      <c r="H417" s="10"/>
      <c r="I417" s="12"/>
      <c r="J417" s="13" t="str">
        <f aca="true">IF(D417="","",IF(H417="完了","✓ DONE",IF(G417="","⚠ NO DUE",IF(G417&lt;TODAY(),"🔴 OVERDUE",IF(G417=TODAY(),"🟡 TODAY","")))))</f>
        <v/>
      </c>
      <c r="K417" s="14"/>
      <c r="L417" s="15" t="str">
        <f aca="false">IF(A417="","",SUMIFS(工数ログ!$E$4:$E$1003,工数ログ!$D$4:$D$1003,$A417))</f>
        <v/>
      </c>
      <c r="M417" s="9"/>
      <c r="N417" s="9"/>
      <c r="O417" s="11"/>
      <c r="P417" s="11"/>
      <c r="Q417" s="2"/>
      <c r="R417" s="2"/>
    </row>
    <row r="418" customFormat="false" ht="15" hidden="false" customHeight="false" outlineLevel="0" collapsed="false">
      <c r="A418" s="6" t="str">
        <f aca="false">IF(D418="","",ROW()-3)</f>
        <v/>
      </c>
      <c r="B418" s="7" t="str">
        <f aca="false">IF($C418="","",IFERROR(INDEX(案件マスタ!$A$4:$A$23,MATCH($C418,案件マスタ!$B$4:$B$23,0)),"?"))</f>
        <v/>
      </c>
      <c r="C418" s="8"/>
      <c r="D418" s="9"/>
      <c r="E418" s="10"/>
      <c r="F418" s="11"/>
      <c r="G418" s="11"/>
      <c r="H418" s="10"/>
      <c r="I418" s="12"/>
      <c r="J418" s="13" t="str">
        <f aca="true">IF(D418="","",IF(H418="完了","✓ DONE",IF(G418="","⚠ NO DUE",IF(G418&lt;TODAY(),"🔴 OVERDUE",IF(G418=TODAY(),"🟡 TODAY","")))))</f>
        <v/>
      </c>
      <c r="K418" s="14"/>
      <c r="L418" s="15" t="str">
        <f aca="false">IF(A418="","",SUMIFS(工数ログ!$E$4:$E$1003,工数ログ!$D$4:$D$1003,$A418))</f>
        <v/>
      </c>
      <c r="M418" s="9"/>
      <c r="N418" s="9"/>
      <c r="O418" s="11"/>
      <c r="P418" s="11"/>
      <c r="Q418" s="2"/>
      <c r="R418" s="2"/>
    </row>
    <row r="419" customFormat="false" ht="15" hidden="false" customHeight="false" outlineLevel="0" collapsed="false">
      <c r="A419" s="6" t="str">
        <f aca="false">IF(D419="","",ROW()-3)</f>
        <v/>
      </c>
      <c r="B419" s="7" t="str">
        <f aca="false">IF($C419="","",IFERROR(INDEX(案件マスタ!$A$4:$A$23,MATCH($C419,案件マスタ!$B$4:$B$23,0)),"?"))</f>
        <v/>
      </c>
      <c r="C419" s="8"/>
      <c r="D419" s="9"/>
      <c r="E419" s="10"/>
      <c r="F419" s="11"/>
      <c r="G419" s="11"/>
      <c r="H419" s="10"/>
      <c r="I419" s="12"/>
      <c r="J419" s="13" t="str">
        <f aca="true">IF(D419="","",IF(H419="完了","✓ DONE",IF(G419="","⚠ NO DUE",IF(G419&lt;TODAY(),"🔴 OVERDUE",IF(G419=TODAY(),"🟡 TODAY","")))))</f>
        <v/>
      </c>
      <c r="K419" s="14"/>
      <c r="L419" s="15" t="str">
        <f aca="false">IF(A419="","",SUMIFS(工数ログ!$E$4:$E$1003,工数ログ!$D$4:$D$1003,$A419))</f>
        <v/>
      </c>
      <c r="M419" s="9"/>
      <c r="N419" s="9"/>
      <c r="O419" s="11"/>
      <c r="P419" s="11"/>
      <c r="Q419" s="2"/>
      <c r="R419" s="2"/>
    </row>
    <row r="420" customFormat="false" ht="15" hidden="false" customHeight="false" outlineLevel="0" collapsed="false">
      <c r="A420" s="6" t="str">
        <f aca="false">IF(D420="","",ROW()-3)</f>
        <v/>
      </c>
      <c r="B420" s="7" t="str">
        <f aca="false">IF($C420="","",IFERROR(INDEX(案件マスタ!$A$4:$A$23,MATCH($C420,案件マスタ!$B$4:$B$23,0)),"?"))</f>
        <v/>
      </c>
      <c r="C420" s="8"/>
      <c r="D420" s="9"/>
      <c r="E420" s="10"/>
      <c r="F420" s="11"/>
      <c r="G420" s="11"/>
      <c r="H420" s="10"/>
      <c r="I420" s="12"/>
      <c r="J420" s="13" t="str">
        <f aca="true">IF(D420="","",IF(H420="完了","✓ DONE",IF(G420="","⚠ NO DUE",IF(G420&lt;TODAY(),"🔴 OVERDUE",IF(G420=TODAY(),"🟡 TODAY","")))))</f>
        <v/>
      </c>
      <c r="K420" s="14"/>
      <c r="L420" s="15" t="str">
        <f aca="false">IF(A420="","",SUMIFS(工数ログ!$E$4:$E$1003,工数ログ!$D$4:$D$1003,$A420))</f>
        <v/>
      </c>
      <c r="M420" s="9"/>
      <c r="N420" s="9"/>
      <c r="O420" s="11"/>
      <c r="P420" s="11"/>
      <c r="Q420" s="2"/>
      <c r="R420" s="2"/>
    </row>
    <row r="421" customFormat="false" ht="15" hidden="false" customHeight="false" outlineLevel="0" collapsed="false">
      <c r="A421" s="6" t="str">
        <f aca="false">IF(D421="","",ROW()-3)</f>
        <v/>
      </c>
      <c r="B421" s="7" t="str">
        <f aca="false">IF($C421="","",IFERROR(INDEX(案件マスタ!$A$4:$A$23,MATCH($C421,案件マスタ!$B$4:$B$23,0)),"?"))</f>
        <v/>
      </c>
      <c r="C421" s="8"/>
      <c r="D421" s="9"/>
      <c r="E421" s="10"/>
      <c r="F421" s="11"/>
      <c r="G421" s="11"/>
      <c r="H421" s="10"/>
      <c r="I421" s="12"/>
      <c r="J421" s="13" t="str">
        <f aca="true">IF(D421="","",IF(H421="完了","✓ DONE",IF(G421="","⚠ NO DUE",IF(G421&lt;TODAY(),"🔴 OVERDUE",IF(G421=TODAY(),"🟡 TODAY","")))))</f>
        <v/>
      </c>
      <c r="K421" s="14"/>
      <c r="L421" s="15" t="str">
        <f aca="false">IF(A421="","",SUMIFS(工数ログ!$E$4:$E$1003,工数ログ!$D$4:$D$1003,$A421))</f>
        <v/>
      </c>
      <c r="M421" s="9"/>
      <c r="N421" s="9"/>
      <c r="O421" s="11"/>
      <c r="P421" s="11"/>
      <c r="Q421" s="2"/>
      <c r="R421" s="2"/>
    </row>
    <row r="422" customFormat="false" ht="15" hidden="false" customHeight="false" outlineLevel="0" collapsed="false">
      <c r="A422" s="6" t="str">
        <f aca="false">IF(D422="","",ROW()-3)</f>
        <v/>
      </c>
      <c r="B422" s="7" t="str">
        <f aca="false">IF($C422="","",IFERROR(INDEX(案件マスタ!$A$4:$A$23,MATCH($C422,案件マスタ!$B$4:$B$23,0)),"?"))</f>
        <v/>
      </c>
      <c r="C422" s="8"/>
      <c r="D422" s="9"/>
      <c r="E422" s="10"/>
      <c r="F422" s="11"/>
      <c r="G422" s="11"/>
      <c r="H422" s="10"/>
      <c r="I422" s="12"/>
      <c r="J422" s="13" t="str">
        <f aca="true">IF(D422="","",IF(H422="完了","✓ DONE",IF(G422="","⚠ NO DUE",IF(G422&lt;TODAY(),"🔴 OVERDUE",IF(G422=TODAY(),"🟡 TODAY","")))))</f>
        <v/>
      </c>
      <c r="K422" s="14"/>
      <c r="L422" s="15" t="str">
        <f aca="false">IF(A422="","",SUMIFS(工数ログ!$E$4:$E$1003,工数ログ!$D$4:$D$1003,$A422))</f>
        <v/>
      </c>
      <c r="M422" s="9"/>
      <c r="N422" s="9"/>
      <c r="O422" s="11"/>
      <c r="P422" s="11"/>
      <c r="Q422" s="2"/>
      <c r="R422" s="2"/>
    </row>
    <row r="423" customFormat="false" ht="15" hidden="false" customHeight="false" outlineLevel="0" collapsed="false">
      <c r="A423" s="6" t="str">
        <f aca="false">IF(D423="","",ROW()-3)</f>
        <v/>
      </c>
      <c r="B423" s="7" t="str">
        <f aca="false">IF($C423="","",IFERROR(INDEX(案件マスタ!$A$4:$A$23,MATCH($C423,案件マスタ!$B$4:$B$23,0)),"?"))</f>
        <v/>
      </c>
      <c r="C423" s="8"/>
      <c r="D423" s="9"/>
      <c r="E423" s="10"/>
      <c r="F423" s="11"/>
      <c r="G423" s="11"/>
      <c r="H423" s="10"/>
      <c r="I423" s="12"/>
      <c r="J423" s="13" t="str">
        <f aca="true">IF(D423="","",IF(H423="完了","✓ DONE",IF(G423="","⚠ NO DUE",IF(G423&lt;TODAY(),"🔴 OVERDUE",IF(G423=TODAY(),"🟡 TODAY","")))))</f>
        <v/>
      </c>
      <c r="K423" s="14"/>
      <c r="L423" s="15" t="str">
        <f aca="false">IF(A423="","",SUMIFS(工数ログ!$E$4:$E$1003,工数ログ!$D$4:$D$1003,$A423))</f>
        <v/>
      </c>
      <c r="M423" s="9"/>
      <c r="N423" s="9"/>
      <c r="O423" s="11"/>
      <c r="P423" s="11"/>
      <c r="Q423" s="2"/>
      <c r="R423" s="2"/>
    </row>
    <row r="424" customFormat="false" ht="15" hidden="false" customHeight="false" outlineLevel="0" collapsed="false">
      <c r="A424" s="6" t="str">
        <f aca="false">IF(D424="","",ROW()-3)</f>
        <v/>
      </c>
      <c r="B424" s="7" t="str">
        <f aca="false">IF($C424="","",IFERROR(INDEX(案件マスタ!$A$4:$A$23,MATCH($C424,案件マスタ!$B$4:$B$23,0)),"?"))</f>
        <v/>
      </c>
      <c r="C424" s="8"/>
      <c r="D424" s="9"/>
      <c r="E424" s="10"/>
      <c r="F424" s="11"/>
      <c r="G424" s="11"/>
      <c r="H424" s="10"/>
      <c r="I424" s="12"/>
      <c r="J424" s="13" t="str">
        <f aca="true">IF(D424="","",IF(H424="完了","✓ DONE",IF(G424="","⚠ NO DUE",IF(G424&lt;TODAY(),"🔴 OVERDUE",IF(G424=TODAY(),"🟡 TODAY","")))))</f>
        <v/>
      </c>
      <c r="K424" s="14"/>
      <c r="L424" s="15" t="str">
        <f aca="false">IF(A424="","",SUMIFS(工数ログ!$E$4:$E$1003,工数ログ!$D$4:$D$1003,$A424))</f>
        <v/>
      </c>
      <c r="M424" s="9"/>
      <c r="N424" s="9"/>
      <c r="O424" s="11"/>
      <c r="P424" s="11"/>
      <c r="Q424" s="2"/>
      <c r="R424" s="2"/>
    </row>
    <row r="425" customFormat="false" ht="15" hidden="false" customHeight="false" outlineLevel="0" collapsed="false">
      <c r="A425" s="6" t="str">
        <f aca="false">IF(D425="","",ROW()-3)</f>
        <v/>
      </c>
      <c r="B425" s="7" t="str">
        <f aca="false">IF($C425="","",IFERROR(INDEX(案件マスタ!$A$4:$A$23,MATCH($C425,案件マスタ!$B$4:$B$23,0)),"?"))</f>
        <v/>
      </c>
      <c r="C425" s="8"/>
      <c r="D425" s="9"/>
      <c r="E425" s="10"/>
      <c r="F425" s="11"/>
      <c r="G425" s="11"/>
      <c r="H425" s="10"/>
      <c r="I425" s="12"/>
      <c r="J425" s="13" t="str">
        <f aca="true">IF(D425="","",IF(H425="完了","✓ DONE",IF(G425="","⚠ NO DUE",IF(G425&lt;TODAY(),"🔴 OVERDUE",IF(G425=TODAY(),"🟡 TODAY","")))))</f>
        <v/>
      </c>
      <c r="K425" s="14"/>
      <c r="L425" s="15" t="str">
        <f aca="false">IF(A425="","",SUMIFS(工数ログ!$E$4:$E$1003,工数ログ!$D$4:$D$1003,$A425))</f>
        <v/>
      </c>
      <c r="M425" s="9"/>
      <c r="N425" s="9"/>
      <c r="O425" s="11"/>
      <c r="P425" s="11"/>
      <c r="Q425" s="2"/>
      <c r="R425" s="2"/>
    </row>
    <row r="426" customFormat="false" ht="15" hidden="false" customHeight="false" outlineLevel="0" collapsed="false">
      <c r="A426" s="6" t="str">
        <f aca="false">IF(D426="","",ROW()-3)</f>
        <v/>
      </c>
      <c r="B426" s="7" t="str">
        <f aca="false">IF($C426="","",IFERROR(INDEX(案件マスタ!$A$4:$A$23,MATCH($C426,案件マスタ!$B$4:$B$23,0)),"?"))</f>
        <v/>
      </c>
      <c r="C426" s="8"/>
      <c r="D426" s="9"/>
      <c r="E426" s="10"/>
      <c r="F426" s="11"/>
      <c r="G426" s="11"/>
      <c r="H426" s="10"/>
      <c r="I426" s="12"/>
      <c r="J426" s="13" t="str">
        <f aca="true">IF(D426="","",IF(H426="完了","✓ DONE",IF(G426="","⚠ NO DUE",IF(G426&lt;TODAY(),"🔴 OVERDUE",IF(G426=TODAY(),"🟡 TODAY","")))))</f>
        <v/>
      </c>
      <c r="K426" s="14"/>
      <c r="L426" s="15" t="str">
        <f aca="false">IF(A426="","",SUMIFS(工数ログ!$E$4:$E$1003,工数ログ!$D$4:$D$1003,$A426))</f>
        <v/>
      </c>
      <c r="M426" s="9"/>
      <c r="N426" s="9"/>
      <c r="O426" s="11"/>
      <c r="P426" s="11"/>
      <c r="Q426" s="2"/>
      <c r="R426" s="2"/>
    </row>
    <row r="427" customFormat="false" ht="15" hidden="false" customHeight="false" outlineLevel="0" collapsed="false">
      <c r="A427" s="6" t="str">
        <f aca="false">IF(D427="","",ROW()-3)</f>
        <v/>
      </c>
      <c r="B427" s="7" t="str">
        <f aca="false">IF($C427="","",IFERROR(INDEX(案件マスタ!$A$4:$A$23,MATCH($C427,案件マスタ!$B$4:$B$23,0)),"?"))</f>
        <v/>
      </c>
      <c r="C427" s="8"/>
      <c r="D427" s="9"/>
      <c r="E427" s="10"/>
      <c r="F427" s="11"/>
      <c r="G427" s="11"/>
      <c r="H427" s="10"/>
      <c r="I427" s="12"/>
      <c r="J427" s="13" t="str">
        <f aca="true">IF(D427="","",IF(H427="完了","✓ DONE",IF(G427="","⚠ NO DUE",IF(G427&lt;TODAY(),"🔴 OVERDUE",IF(G427=TODAY(),"🟡 TODAY","")))))</f>
        <v/>
      </c>
      <c r="K427" s="14"/>
      <c r="L427" s="15" t="str">
        <f aca="false">IF(A427="","",SUMIFS(工数ログ!$E$4:$E$1003,工数ログ!$D$4:$D$1003,$A427))</f>
        <v/>
      </c>
      <c r="M427" s="9"/>
      <c r="N427" s="9"/>
      <c r="O427" s="11"/>
      <c r="P427" s="11"/>
      <c r="Q427" s="2"/>
      <c r="R427" s="2"/>
    </row>
    <row r="428" customFormat="false" ht="15" hidden="false" customHeight="false" outlineLevel="0" collapsed="false">
      <c r="A428" s="6" t="str">
        <f aca="false">IF(D428="","",ROW()-3)</f>
        <v/>
      </c>
      <c r="B428" s="7" t="str">
        <f aca="false">IF($C428="","",IFERROR(INDEX(案件マスタ!$A$4:$A$23,MATCH($C428,案件マスタ!$B$4:$B$23,0)),"?"))</f>
        <v/>
      </c>
      <c r="C428" s="8"/>
      <c r="D428" s="9"/>
      <c r="E428" s="10"/>
      <c r="F428" s="11"/>
      <c r="G428" s="11"/>
      <c r="H428" s="10"/>
      <c r="I428" s="12"/>
      <c r="J428" s="13" t="str">
        <f aca="true">IF(D428="","",IF(H428="完了","✓ DONE",IF(G428="","⚠ NO DUE",IF(G428&lt;TODAY(),"🔴 OVERDUE",IF(G428=TODAY(),"🟡 TODAY","")))))</f>
        <v/>
      </c>
      <c r="K428" s="14"/>
      <c r="L428" s="15" t="str">
        <f aca="false">IF(A428="","",SUMIFS(工数ログ!$E$4:$E$1003,工数ログ!$D$4:$D$1003,$A428))</f>
        <v/>
      </c>
      <c r="M428" s="9"/>
      <c r="N428" s="9"/>
      <c r="O428" s="11"/>
      <c r="P428" s="11"/>
      <c r="Q428" s="2"/>
      <c r="R428" s="2"/>
    </row>
    <row r="429" customFormat="false" ht="15" hidden="false" customHeight="false" outlineLevel="0" collapsed="false">
      <c r="A429" s="6" t="str">
        <f aca="false">IF(D429="","",ROW()-3)</f>
        <v/>
      </c>
      <c r="B429" s="7" t="str">
        <f aca="false">IF($C429="","",IFERROR(INDEX(案件マスタ!$A$4:$A$23,MATCH($C429,案件マスタ!$B$4:$B$23,0)),"?"))</f>
        <v/>
      </c>
      <c r="C429" s="8"/>
      <c r="D429" s="9"/>
      <c r="E429" s="10"/>
      <c r="F429" s="11"/>
      <c r="G429" s="11"/>
      <c r="H429" s="10"/>
      <c r="I429" s="12"/>
      <c r="J429" s="13" t="str">
        <f aca="true">IF(D429="","",IF(H429="完了","✓ DONE",IF(G429="","⚠ NO DUE",IF(G429&lt;TODAY(),"🔴 OVERDUE",IF(G429=TODAY(),"🟡 TODAY","")))))</f>
        <v/>
      </c>
      <c r="K429" s="14"/>
      <c r="L429" s="15" t="str">
        <f aca="false">IF(A429="","",SUMIFS(工数ログ!$E$4:$E$1003,工数ログ!$D$4:$D$1003,$A429))</f>
        <v/>
      </c>
      <c r="M429" s="9"/>
      <c r="N429" s="9"/>
      <c r="O429" s="11"/>
      <c r="P429" s="11"/>
      <c r="Q429" s="2"/>
      <c r="R429" s="2"/>
    </row>
    <row r="430" customFormat="false" ht="15" hidden="false" customHeight="false" outlineLevel="0" collapsed="false">
      <c r="A430" s="6" t="str">
        <f aca="false">IF(D430="","",ROW()-3)</f>
        <v/>
      </c>
      <c r="B430" s="7" t="str">
        <f aca="false">IF($C430="","",IFERROR(INDEX(案件マスタ!$A$4:$A$23,MATCH($C430,案件マスタ!$B$4:$B$23,0)),"?"))</f>
        <v/>
      </c>
      <c r="C430" s="8"/>
      <c r="D430" s="9"/>
      <c r="E430" s="10"/>
      <c r="F430" s="11"/>
      <c r="G430" s="11"/>
      <c r="H430" s="10"/>
      <c r="I430" s="12"/>
      <c r="J430" s="13" t="str">
        <f aca="true">IF(D430="","",IF(H430="完了","✓ DONE",IF(G430="","⚠ NO DUE",IF(G430&lt;TODAY(),"🔴 OVERDUE",IF(G430=TODAY(),"🟡 TODAY","")))))</f>
        <v/>
      </c>
      <c r="K430" s="14"/>
      <c r="L430" s="15" t="str">
        <f aca="false">IF(A430="","",SUMIFS(工数ログ!$E$4:$E$1003,工数ログ!$D$4:$D$1003,$A430))</f>
        <v/>
      </c>
      <c r="M430" s="9"/>
      <c r="N430" s="9"/>
      <c r="O430" s="11"/>
      <c r="P430" s="11"/>
      <c r="Q430" s="2"/>
      <c r="R430" s="2"/>
    </row>
    <row r="431" customFormat="false" ht="15" hidden="false" customHeight="false" outlineLevel="0" collapsed="false">
      <c r="A431" s="6" t="str">
        <f aca="false">IF(D431="","",ROW()-3)</f>
        <v/>
      </c>
      <c r="B431" s="7" t="str">
        <f aca="false">IF($C431="","",IFERROR(INDEX(案件マスタ!$A$4:$A$23,MATCH($C431,案件マスタ!$B$4:$B$23,0)),"?"))</f>
        <v/>
      </c>
      <c r="C431" s="8"/>
      <c r="D431" s="9"/>
      <c r="E431" s="10"/>
      <c r="F431" s="11"/>
      <c r="G431" s="11"/>
      <c r="H431" s="10"/>
      <c r="I431" s="12"/>
      <c r="J431" s="13" t="str">
        <f aca="true">IF(D431="","",IF(H431="完了","✓ DONE",IF(G431="","⚠ NO DUE",IF(G431&lt;TODAY(),"🔴 OVERDUE",IF(G431=TODAY(),"🟡 TODAY","")))))</f>
        <v/>
      </c>
      <c r="K431" s="14"/>
      <c r="L431" s="15" t="str">
        <f aca="false">IF(A431="","",SUMIFS(工数ログ!$E$4:$E$1003,工数ログ!$D$4:$D$1003,$A431))</f>
        <v/>
      </c>
      <c r="M431" s="9"/>
      <c r="N431" s="9"/>
      <c r="O431" s="11"/>
      <c r="P431" s="11"/>
      <c r="Q431" s="2"/>
      <c r="R431" s="2"/>
    </row>
    <row r="432" customFormat="false" ht="15" hidden="false" customHeight="false" outlineLevel="0" collapsed="false">
      <c r="A432" s="6" t="str">
        <f aca="false">IF(D432="","",ROW()-3)</f>
        <v/>
      </c>
      <c r="B432" s="7" t="str">
        <f aca="false">IF($C432="","",IFERROR(INDEX(案件マスタ!$A$4:$A$23,MATCH($C432,案件マスタ!$B$4:$B$23,0)),"?"))</f>
        <v/>
      </c>
      <c r="C432" s="8"/>
      <c r="D432" s="9"/>
      <c r="E432" s="10"/>
      <c r="F432" s="11"/>
      <c r="G432" s="11"/>
      <c r="H432" s="10"/>
      <c r="I432" s="12"/>
      <c r="J432" s="13" t="str">
        <f aca="true">IF(D432="","",IF(H432="完了","✓ DONE",IF(G432="","⚠ NO DUE",IF(G432&lt;TODAY(),"🔴 OVERDUE",IF(G432=TODAY(),"🟡 TODAY","")))))</f>
        <v/>
      </c>
      <c r="K432" s="14"/>
      <c r="L432" s="15" t="str">
        <f aca="false">IF(A432="","",SUMIFS(工数ログ!$E$4:$E$1003,工数ログ!$D$4:$D$1003,$A432))</f>
        <v/>
      </c>
      <c r="M432" s="9"/>
      <c r="N432" s="9"/>
      <c r="O432" s="11"/>
      <c r="P432" s="11"/>
      <c r="Q432" s="2"/>
      <c r="R432" s="2"/>
    </row>
    <row r="433" customFormat="false" ht="15" hidden="false" customHeight="false" outlineLevel="0" collapsed="false">
      <c r="A433" s="6" t="str">
        <f aca="false">IF(D433="","",ROW()-3)</f>
        <v/>
      </c>
      <c r="B433" s="7" t="str">
        <f aca="false">IF($C433="","",IFERROR(INDEX(案件マスタ!$A$4:$A$23,MATCH($C433,案件マスタ!$B$4:$B$23,0)),"?"))</f>
        <v/>
      </c>
      <c r="C433" s="8"/>
      <c r="D433" s="9"/>
      <c r="E433" s="10"/>
      <c r="F433" s="11"/>
      <c r="G433" s="11"/>
      <c r="H433" s="10"/>
      <c r="I433" s="12"/>
      <c r="J433" s="13" t="str">
        <f aca="true">IF(D433="","",IF(H433="完了","✓ DONE",IF(G433="","⚠ NO DUE",IF(G433&lt;TODAY(),"🔴 OVERDUE",IF(G433=TODAY(),"🟡 TODAY","")))))</f>
        <v/>
      </c>
      <c r="K433" s="14"/>
      <c r="L433" s="15" t="str">
        <f aca="false">IF(A433="","",SUMIFS(工数ログ!$E$4:$E$1003,工数ログ!$D$4:$D$1003,$A433))</f>
        <v/>
      </c>
      <c r="M433" s="9"/>
      <c r="N433" s="9"/>
      <c r="O433" s="11"/>
      <c r="P433" s="11"/>
      <c r="Q433" s="2"/>
      <c r="R433" s="2"/>
    </row>
    <row r="434" customFormat="false" ht="15" hidden="false" customHeight="false" outlineLevel="0" collapsed="false">
      <c r="A434" s="6" t="str">
        <f aca="false">IF(D434="","",ROW()-3)</f>
        <v/>
      </c>
      <c r="B434" s="7" t="str">
        <f aca="false">IF($C434="","",IFERROR(INDEX(案件マスタ!$A$4:$A$23,MATCH($C434,案件マスタ!$B$4:$B$23,0)),"?"))</f>
        <v/>
      </c>
      <c r="C434" s="8"/>
      <c r="D434" s="9"/>
      <c r="E434" s="10"/>
      <c r="F434" s="11"/>
      <c r="G434" s="11"/>
      <c r="H434" s="10"/>
      <c r="I434" s="12"/>
      <c r="J434" s="13" t="str">
        <f aca="true">IF(D434="","",IF(H434="完了","✓ DONE",IF(G434="","⚠ NO DUE",IF(G434&lt;TODAY(),"🔴 OVERDUE",IF(G434=TODAY(),"🟡 TODAY","")))))</f>
        <v/>
      </c>
      <c r="K434" s="14"/>
      <c r="L434" s="15" t="str">
        <f aca="false">IF(A434="","",SUMIFS(工数ログ!$E$4:$E$1003,工数ログ!$D$4:$D$1003,$A434))</f>
        <v/>
      </c>
      <c r="M434" s="9"/>
      <c r="N434" s="9"/>
      <c r="O434" s="11"/>
      <c r="P434" s="11"/>
      <c r="Q434" s="2"/>
      <c r="R434" s="2"/>
    </row>
    <row r="435" customFormat="false" ht="15" hidden="false" customHeight="false" outlineLevel="0" collapsed="false">
      <c r="A435" s="6" t="str">
        <f aca="false">IF(D435="","",ROW()-3)</f>
        <v/>
      </c>
      <c r="B435" s="7" t="str">
        <f aca="false">IF($C435="","",IFERROR(INDEX(案件マスタ!$A$4:$A$23,MATCH($C435,案件マスタ!$B$4:$B$23,0)),"?"))</f>
        <v/>
      </c>
      <c r="C435" s="8"/>
      <c r="D435" s="9"/>
      <c r="E435" s="10"/>
      <c r="F435" s="11"/>
      <c r="G435" s="11"/>
      <c r="H435" s="10"/>
      <c r="I435" s="12"/>
      <c r="J435" s="13" t="str">
        <f aca="true">IF(D435="","",IF(H435="完了","✓ DONE",IF(G435="","⚠ NO DUE",IF(G435&lt;TODAY(),"🔴 OVERDUE",IF(G435=TODAY(),"🟡 TODAY","")))))</f>
        <v/>
      </c>
      <c r="K435" s="14"/>
      <c r="L435" s="15" t="str">
        <f aca="false">IF(A435="","",SUMIFS(工数ログ!$E$4:$E$1003,工数ログ!$D$4:$D$1003,$A435))</f>
        <v/>
      </c>
      <c r="M435" s="9"/>
      <c r="N435" s="9"/>
      <c r="O435" s="11"/>
      <c r="P435" s="11"/>
      <c r="Q435" s="2"/>
      <c r="R435" s="2"/>
    </row>
    <row r="436" customFormat="false" ht="15" hidden="false" customHeight="false" outlineLevel="0" collapsed="false">
      <c r="A436" s="6" t="str">
        <f aca="false">IF(D436="","",ROW()-3)</f>
        <v/>
      </c>
      <c r="B436" s="7" t="str">
        <f aca="false">IF($C436="","",IFERROR(INDEX(案件マスタ!$A$4:$A$23,MATCH($C436,案件マスタ!$B$4:$B$23,0)),"?"))</f>
        <v/>
      </c>
      <c r="C436" s="8"/>
      <c r="D436" s="9"/>
      <c r="E436" s="10"/>
      <c r="F436" s="11"/>
      <c r="G436" s="11"/>
      <c r="H436" s="10"/>
      <c r="I436" s="12"/>
      <c r="J436" s="13" t="str">
        <f aca="true">IF(D436="","",IF(H436="完了","✓ DONE",IF(G436="","⚠ NO DUE",IF(G436&lt;TODAY(),"🔴 OVERDUE",IF(G436=TODAY(),"🟡 TODAY","")))))</f>
        <v/>
      </c>
      <c r="K436" s="14"/>
      <c r="L436" s="15" t="str">
        <f aca="false">IF(A436="","",SUMIFS(工数ログ!$E$4:$E$1003,工数ログ!$D$4:$D$1003,$A436))</f>
        <v/>
      </c>
      <c r="M436" s="9"/>
      <c r="N436" s="9"/>
      <c r="O436" s="11"/>
      <c r="P436" s="11"/>
      <c r="Q436" s="2"/>
      <c r="R436" s="2"/>
    </row>
    <row r="437" customFormat="false" ht="15" hidden="false" customHeight="false" outlineLevel="0" collapsed="false">
      <c r="A437" s="6" t="str">
        <f aca="false">IF(D437="","",ROW()-3)</f>
        <v/>
      </c>
      <c r="B437" s="7" t="str">
        <f aca="false">IF($C437="","",IFERROR(INDEX(案件マスタ!$A$4:$A$23,MATCH($C437,案件マスタ!$B$4:$B$23,0)),"?"))</f>
        <v/>
      </c>
      <c r="C437" s="8"/>
      <c r="D437" s="9"/>
      <c r="E437" s="10"/>
      <c r="F437" s="11"/>
      <c r="G437" s="11"/>
      <c r="H437" s="10"/>
      <c r="I437" s="12"/>
      <c r="J437" s="13" t="str">
        <f aca="true">IF(D437="","",IF(H437="完了","✓ DONE",IF(G437="","⚠ NO DUE",IF(G437&lt;TODAY(),"🔴 OVERDUE",IF(G437=TODAY(),"🟡 TODAY","")))))</f>
        <v/>
      </c>
      <c r="K437" s="14"/>
      <c r="L437" s="15" t="str">
        <f aca="false">IF(A437="","",SUMIFS(工数ログ!$E$4:$E$1003,工数ログ!$D$4:$D$1003,$A437))</f>
        <v/>
      </c>
      <c r="M437" s="9"/>
      <c r="N437" s="9"/>
      <c r="O437" s="11"/>
      <c r="P437" s="11"/>
      <c r="Q437" s="2"/>
      <c r="R437" s="2"/>
    </row>
    <row r="438" customFormat="false" ht="15" hidden="false" customHeight="false" outlineLevel="0" collapsed="false">
      <c r="A438" s="6" t="str">
        <f aca="false">IF(D438="","",ROW()-3)</f>
        <v/>
      </c>
      <c r="B438" s="7" t="str">
        <f aca="false">IF($C438="","",IFERROR(INDEX(案件マスタ!$A$4:$A$23,MATCH($C438,案件マスタ!$B$4:$B$23,0)),"?"))</f>
        <v/>
      </c>
      <c r="C438" s="8"/>
      <c r="D438" s="9"/>
      <c r="E438" s="10"/>
      <c r="F438" s="11"/>
      <c r="G438" s="11"/>
      <c r="H438" s="10"/>
      <c r="I438" s="12"/>
      <c r="J438" s="13" t="str">
        <f aca="true">IF(D438="","",IF(H438="完了","✓ DONE",IF(G438="","⚠ NO DUE",IF(G438&lt;TODAY(),"🔴 OVERDUE",IF(G438=TODAY(),"🟡 TODAY","")))))</f>
        <v/>
      </c>
      <c r="K438" s="14"/>
      <c r="L438" s="15" t="str">
        <f aca="false">IF(A438="","",SUMIFS(工数ログ!$E$4:$E$1003,工数ログ!$D$4:$D$1003,$A438))</f>
        <v/>
      </c>
      <c r="M438" s="9"/>
      <c r="N438" s="9"/>
      <c r="O438" s="11"/>
      <c r="P438" s="11"/>
      <c r="Q438" s="2"/>
      <c r="R438" s="2"/>
    </row>
    <row r="439" customFormat="false" ht="15" hidden="false" customHeight="false" outlineLevel="0" collapsed="false">
      <c r="A439" s="6" t="str">
        <f aca="false">IF(D439="","",ROW()-3)</f>
        <v/>
      </c>
      <c r="B439" s="7" t="str">
        <f aca="false">IF($C439="","",IFERROR(INDEX(案件マスタ!$A$4:$A$23,MATCH($C439,案件マスタ!$B$4:$B$23,0)),"?"))</f>
        <v/>
      </c>
      <c r="C439" s="8"/>
      <c r="D439" s="9"/>
      <c r="E439" s="10"/>
      <c r="F439" s="11"/>
      <c r="G439" s="11"/>
      <c r="H439" s="10"/>
      <c r="I439" s="12"/>
      <c r="J439" s="13" t="str">
        <f aca="true">IF(D439="","",IF(H439="完了","✓ DONE",IF(G439="","⚠ NO DUE",IF(G439&lt;TODAY(),"🔴 OVERDUE",IF(G439=TODAY(),"🟡 TODAY","")))))</f>
        <v/>
      </c>
      <c r="K439" s="14"/>
      <c r="L439" s="15" t="str">
        <f aca="false">IF(A439="","",SUMIFS(工数ログ!$E$4:$E$1003,工数ログ!$D$4:$D$1003,$A439))</f>
        <v/>
      </c>
      <c r="M439" s="9"/>
      <c r="N439" s="9"/>
      <c r="O439" s="11"/>
      <c r="P439" s="11"/>
      <c r="Q439" s="2"/>
      <c r="R439" s="2"/>
    </row>
    <row r="440" customFormat="false" ht="15" hidden="false" customHeight="false" outlineLevel="0" collapsed="false">
      <c r="A440" s="6" t="str">
        <f aca="false">IF(D440="","",ROW()-3)</f>
        <v/>
      </c>
      <c r="B440" s="7" t="str">
        <f aca="false">IF($C440="","",IFERROR(INDEX(案件マスタ!$A$4:$A$23,MATCH($C440,案件マスタ!$B$4:$B$23,0)),"?"))</f>
        <v/>
      </c>
      <c r="C440" s="8"/>
      <c r="D440" s="9"/>
      <c r="E440" s="10"/>
      <c r="F440" s="11"/>
      <c r="G440" s="11"/>
      <c r="H440" s="10"/>
      <c r="I440" s="12"/>
      <c r="J440" s="13" t="str">
        <f aca="true">IF(D440="","",IF(H440="完了","✓ DONE",IF(G440="","⚠ NO DUE",IF(G440&lt;TODAY(),"🔴 OVERDUE",IF(G440=TODAY(),"🟡 TODAY","")))))</f>
        <v/>
      </c>
      <c r="K440" s="14"/>
      <c r="L440" s="15" t="str">
        <f aca="false">IF(A440="","",SUMIFS(工数ログ!$E$4:$E$1003,工数ログ!$D$4:$D$1003,$A440))</f>
        <v/>
      </c>
      <c r="M440" s="9"/>
      <c r="N440" s="9"/>
      <c r="O440" s="11"/>
      <c r="P440" s="11"/>
      <c r="Q440" s="2"/>
      <c r="R440" s="2"/>
    </row>
    <row r="441" customFormat="false" ht="15" hidden="false" customHeight="false" outlineLevel="0" collapsed="false">
      <c r="A441" s="6" t="str">
        <f aca="false">IF(D441="","",ROW()-3)</f>
        <v/>
      </c>
      <c r="B441" s="7" t="str">
        <f aca="false">IF($C441="","",IFERROR(INDEX(案件マスタ!$A$4:$A$23,MATCH($C441,案件マスタ!$B$4:$B$23,0)),"?"))</f>
        <v/>
      </c>
      <c r="C441" s="8"/>
      <c r="D441" s="9"/>
      <c r="E441" s="10"/>
      <c r="F441" s="11"/>
      <c r="G441" s="11"/>
      <c r="H441" s="10"/>
      <c r="I441" s="12"/>
      <c r="J441" s="13" t="str">
        <f aca="true">IF(D441="","",IF(H441="完了","✓ DONE",IF(G441="","⚠ NO DUE",IF(G441&lt;TODAY(),"🔴 OVERDUE",IF(G441=TODAY(),"🟡 TODAY","")))))</f>
        <v/>
      </c>
      <c r="K441" s="14"/>
      <c r="L441" s="15" t="str">
        <f aca="false">IF(A441="","",SUMIFS(工数ログ!$E$4:$E$1003,工数ログ!$D$4:$D$1003,$A441))</f>
        <v/>
      </c>
      <c r="M441" s="9"/>
      <c r="N441" s="9"/>
      <c r="O441" s="11"/>
      <c r="P441" s="11"/>
      <c r="Q441" s="2"/>
      <c r="R441" s="2"/>
    </row>
    <row r="442" customFormat="false" ht="15" hidden="false" customHeight="false" outlineLevel="0" collapsed="false">
      <c r="A442" s="6" t="str">
        <f aca="false">IF(D442="","",ROW()-3)</f>
        <v/>
      </c>
      <c r="B442" s="7" t="str">
        <f aca="false">IF($C442="","",IFERROR(INDEX(案件マスタ!$A$4:$A$23,MATCH($C442,案件マスタ!$B$4:$B$23,0)),"?"))</f>
        <v/>
      </c>
      <c r="C442" s="8"/>
      <c r="D442" s="9"/>
      <c r="E442" s="10"/>
      <c r="F442" s="11"/>
      <c r="G442" s="11"/>
      <c r="H442" s="10"/>
      <c r="I442" s="12"/>
      <c r="J442" s="13" t="str">
        <f aca="true">IF(D442="","",IF(H442="完了","✓ DONE",IF(G442="","⚠ NO DUE",IF(G442&lt;TODAY(),"🔴 OVERDUE",IF(G442=TODAY(),"🟡 TODAY","")))))</f>
        <v/>
      </c>
      <c r="K442" s="14"/>
      <c r="L442" s="15" t="str">
        <f aca="false">IF(A442="","",SUMIFS(工数ログ!$E$4:$E$1003,工数ログ!$D$4:$D$1003,$A442))</f>
        <v/>
      </c>
      <c r="M442" s="9"/>
      <c r="N442" s="9"/>
      <c r="O442" s="11"/>
      <c r="P442" s="11"/>
      <c r="Q442" s="2"/>
      <c r="R442" s="2"/>
    </row>
    <row r="443" customFormat="false" ht="15" hidden="false" customHeight="false" outlineLevel="0" collapsed="false">
      <c r="A443" s="6" t="str">
        <f aca="false">IF(D443="","",ROW()-3)</f>
        <v/>
      </c>
      <c r="B443" s="7" t="str">
        <f aca="false">IF($C443="","",IFERROR(INDEX(案件マスタ!$A$4:$A$23,MATCH($C443,案件マスタ!$B$4:$B$23,0)),"?"))</f>
        <v/>
      </c>
      <c r="C443" s="8"/>
      <c r="D443" s="9"/>
      <c r="E443" s="10"/>
      <c r="F443" s="11"/>
      <c r="G443" s="11"/>
      <c r="H443" s="10"/>
      <c r="I443" s="12"/>
      <c r="J443" s="13" t="str">
        <f aca="true">IF(D443="","",IF(H443="完了","✓ DONE",IF(G443="","⚠ NO DUE",IF(G443&lt;TODAY(),"🔴 OVERDUE",IF(G443=TODAY(),"🟡 TODAY","")))))</f>
        <v/>
      </c>
      <c r="K443" s="14"/>
      <c r="L443" s="15" t="str">
        <f aca="false">IF(A443="","",SUMIFS(工数ログ!$E$4:$E$1003,工数ログ!$D$4:$D$1003,$A443))</f>
        <v/>
      </c>
      <c r="M443" s="9"/>
      <c r="N443" s="9"/>
      <c r="O443" s="11"/>
      <c r="P443" s="11"/>
      <c r="Q443" s="2"/>
      <c r="R443" s="2"/>
    </row>
    <row r="444" customFormat="false" ht="15" hidden="false" customHeight="false" outlineLevel="0" collapsed="false">
      <c r="A444" s="6" t="str">
        <f aca="false">IF(D444="","",ROW()-3)</f>
        <v/>
      </c>
      <c r="B444" s="7" t="str">
        <f aca="false">IF($C444="","",IFERROR(INDEX(案件マスタ!$A$4:$A$23,MATCH($C444,案件マスタ!$B$4:$B$23,0)),"?"))</f>
        <v/>
      </c>
      <c r="C444" s="8"/>
      <c r="D444" s="9"/>
      <c r="E444" s="10"/>
      <c r="F444" s="11"/>
      <c r="G444" s="11"/>
      <c r="H444" s="10"/>
      <c r="I444" s="12"/>
      <c r="J444" s="13" t="str">
        <f aca="true">IF(D444="","",IF(H444="完了","✓ DONE",IF(G444="","⚠ NO DUE",IF(G444&lt;TODAY(),"🔴 OVERDUE",IF(G444=TODAY(),"🟡 TODAY","")))))</f>
        <v/>
      </c>
      <c r="K444" s="14"/>
      <c r="L444" s="15" t="str">
        <f aca="false">IF(A444="","",SUMIFS(工数ログ!$E$4:$E$1003,工数ログ!$D$4:$D$1003,$A444))</f>
        <v/>
      </c>
      <c r="M444" s="9"/>
      <c r="N444" s="9"/>
      <c r="O444" s="11"/>
      <c r="P444" s="11"/>
      <c r="Q444" s="2"/>
      <c r="R444" s="2"/>
    </row>
    <row r="445" customFormat="false" ht="15" hidden="false" customHeight="false" outlineLevel="0" collapsed="false">
      <c r="A445" s="6" t="str">
        <f aca="false">IF(D445="","",ROW()-3)</f>
        <v/>
      </c>
      <c r="B445" s="7" t="str">
        <f aca="false">IF($C445="","",IFERROR(INDEX(案件マスタ!$A$4:$A$23,MATCH($C445,案件マスタ!$B$4:$B$23,0)),"?"))</f>
        <v/>
      </c>
      <c r="C445" s="8"/>
      <c r="D445" s="9"/>
      <c r="E445" s="10"/>
      <c r="F445" s="11"/>
      <c r="G445" s="11"/>
      <c r="H445" s="10"/>
      <c r="I445" s="12"/>
      <c r="J445" s="13" t="str">
        <f aca="true">IF(D445="","",IF(H445="完了","✓ DONE",IF(G445="","⚠ NO DUE",IF(G445&lt;TODAY(),"🔴 OVERDUE",IF(G445=TODAY(),"🟡 TODAY","")))))</f>
        <v/>
      </c>
      <c r="K445" s="14"/>
      <c r="L445" s="15" t="str">
        <f aca="false">IF(A445="","",SUMIFS(工数ログ!$E$4:$E$1003,工数ログ!$D$4:$D$1003,$A445))</f>
        <v/>
      </c>
      <c r="M445" s="9"/>
      <c r="N445" s="9"/>
      <c r="O445" s="11"/>
      <c r="P445" s="11"/>
      <c r="Q445" s="2"/>
      <c r="R445" s="2"/>
    </row>
    <row r="446" customFormat="false" ht="15" hidden="false" customHeight="false" outlineLevel="0" collapsed="false">
      <c r="A446" s="6" t="str">
        <f aca="false">IF(D446="","",ROW()-3)</f>
        <v/>
      </c>
      <c r="B446" s="7" t="str">
        <f aca="false">IF($C446="","",IFERROR(INDEX(案件マスタ!$A$4:$A$23,MATCH($C446,案件マスタ!$B$4:$B$23,0)),"?"))</f>
        <v/>
      </c>
      <c r="C446" s="8"/>
      <c r="D446" s="9"/>
      <c r="E446" s="10"/>
      <c r="F446" s="11"/>
      <c r="G446" s="11"/>
      <c r="H446" s="10"/>
      <c r="I446" s="12"/>
      <c r="J446" s="13" t="str">
        <f aca="true">IF(D446="","",IF(H446="完了","✓ DONE",IF(G446="","⚠ NO DUE",IF(G446&lt;TODAY(),"🔴 OVERDUE",IF(G446=TODAY(),"🟡 TODAY","")))))</f>
        <v/>
      </c>
      <c r="K446" s="14"/>
      <c r="L446" s="15" t="str">
        <f aca="false">IF(A446="","",SUMIFS(工数ログ!$E$4:$E$1003,工数ログ!$D$4:$D$1003,$A446))</f>
        <v/>
      </c>
      <c r="M446" s="9"/>
      <c r="N446" s="9"/>
      <c r="O446" s="11"/>
      <c r="P446" s="11"/>
      <c r="Q446" s="2"/>
      <c r="R446" s="2"/>
    </row>
    <row r="447" customFormat="false" ht="15" hidden="false" customHeight="false" outlineLevel="0" collapsed="false">
      <c r="A447" s="6" t="str">
        <f aca="false">IF(D447="","",ROW()-3)</f>
        <v/>
      </c>
      <c r="B447" s="7" t="str">
        <f aca="false">IF($C447="","",IFERROR(INDEX(案件マスタ!$A$4:$A$23,MATCH($C447,案件マスタ!$B$4:$B$23,0)),"?"))</f>
        <v/>
      </c>
      <c r="C447" s="8"/>
      <c r="D447" s="9"/>
      <c r="E447" s="10"/>
      <c r="F447" s="11"/>
      <c r="G447" s="11"/>
      <c r="H447" s="10"/>
      <c r="I447" s="12"/>
      <c r="J447" s="13" t="str">
        <f aca="true">IF(D447="","",IF(H447="完了","✓ DONE",IF(G447="","⚠ NO DUE",IF(G447&lt;TODAY(),"🔴 OVERDUE",IF(G447=TODAY(),"🟡 TODAY","")))))</f>
        <v/>
      </c>
      <c r="K447" s="14"/>
      <c r="L447" s="15" t="str">
        <f aca="false">IF(A447="","",SUMIFS(工数ログ!$E$4:$E$1003,工数ログ!$D$4:$D$1003,$A447))</f>
        <v/>
      </c>
      <c r="M447" s="9"/>
      <c r="N447" s="9"/>
      <c r="O447" s="11"/>
      <c r="P447" s="11"/>
      <c r="Q447" s="2"/>
      <c r="R447" s="2"/>
    </row>
    <row r="448" customFormat="false" ht="15" hidden="false" customHeight="false" outlineLevel="0" collapsed="false">
      <c r="A448" s="6" t="str">
        <f aca="false">IF(D448="","",ROW()-3)</f>
        <v/>
      </c>
      <c r="B448" s="7" t="str">
        <f aca="false">IF($C448="","",IFERROR(INDEX(案件マスタ!$A$4:$A$23,MATCH($C448,案件マスタ!$B$4:$B$23,0)),"?"))</f>
        <v/>
      </c>
      <c r="C448" s="8"/>
      <c r="D448" s="9"/>
      <c r="E448" s="10"/>
      <c r="F448" s="11"/>
      <c r="G448" s="11"/>
      <c r="H448" s="10"/>
      <c r="I448" s="12"/>
      <c r="J448" s="13" t="str">
        <f aca="true">IF(D448="","",IF(H448="完了","✓ DONE",IF(G448="","⚠ NO DUE",IF(G448&lt;TODAY(),"🔴 OVERDUE",IF(G448=TODAY(),"🟡 TODAY","")))))</f>
        <v/>
      </c>
      <c r="K448" s="14"/>
      <c r="L448" s="15" t="str">
        <f aca="false">IF(A448="","",SUMIFS(工数ログ!$E$4:$E$1003,工数ログ!$D$4:$D$1003,$A448))</f>
        <v/>
      </c>
      <c r="M448" s="9"/>
      <c r="N448" s="9"/>
      <c r="O448" s="11"/>
      <c r="P448" s="11"/>
      <c r="Q448" s="2"/>
      <c r="R448" s="2"/>
    </row>
    <row r="449" customFormat="false" ht="15" hidden="false" customHeight="false" outlineLevel="0" collapsed="false">
      <c r="A449" s="6" t="str">
        <f aca="false">IF(D449="","",ROW()-3)</f>
        <v/>
      </c>
      <c r="B449" s="7" t="str">
        <f aca="false">IF($C449="","",IFERROR(INDEX(案件マスタ!$A$4:$A$23,MATCH($C449,案件マスタ!$B$4:$B$23,0)),"?"))</f>
        <v/>
      </c>
      <c r="C449" s="8"/>
      <c r="D449" s="9"/>
      <c r="E449" s="10"/>
      <c r="F449" s="11"/>
      <c r="G449" s="11"/>
      <c r="H449" s="10"/>
      <c r="I449" s="12"/>
      <c r="J449" s="13" t="str">
        <f aca="true">IF(D449="","",IF(H449="完了","✓ DONE",IF(G449="","⚠ NO DUE",IF(G449&lt;TODAY(),"🔴 OVERDUE",IF(G449=TODAY(),"🟡 TODAY","")))))</f>
        <v/>
      </c>
      <c r="K449" s="14"/>
      <c r="L449" s="15" t="str">
        <f aca="false">IF(A449="","",SUMIFS(工数ログ!$E$4:$E$1003,工数ログ!$D$4:$D$1003,$A449))</f>
        <v/>
      </c>
      <c r="M449" s="9"/>
      <c r="N449" s="9"/>
      <c r="O449" s="11"/>
      <c r="P449" s="11"/>
      <c r="Q449" s="2"/>
      <c r="R449" s="2"/>
    </row>
    <row r="450" customFormat="false" ht="15" hidden="false" customHeight="false" outlineLevel="0" collapsed="false">
      <c r="A450" s="6" t="str">
        <f aca="false">IF(D450="","",ROW()-3)</f>
        <v/>
      </c>
      <c r="B450" s="7" t="str">
        <f aca="false">IF($C450="","",IFERROR(INDEX(案件マスタ!$A$4:$A$23,MATCH($C450,案件マスタ!$B$4:$B$23,0)),"?"))</f>
        <v/>
      </c>
      <c r="C450" s="8"/>
      <c r="D450" s="9"/>
      <c r="E450" s="10"/>
      <c r="F450" s="11"/>
      <c r="G450" s="11"/>
      <c r="H450" s="10"/>
      <c r="I450" s="12"/>
      <c r="J450" s="13" t="str">
        <f aca="true">IF(D450="","",IF(H450="完了","✓ DONE",IF(G450="","⚠ NO DUE",IF(G450&lt;TODAY(),"🔴 OVERDUE",IF(G450=TODAY(),"🟡 TODAY","")))))</f>
        <v/>
      </c>
      <c r="K450" s="14"/>
      <c r="L450" s="15" t="str">
        <f aca="false">IF(A450="","",SUMIFS(工数ログ!$E$4:$E$1003,工数ログ!$D$4:$D$1003,$A450))</f>
        <v/>
      </c>
      <c r="M450" s="9"/>
      <c r="N450" s="9"/>
      <c r="O450" s="11"/>
      <c r="P450" s="11"/>
      <c r="Q450" s="2"/>
      <c r="R450" s="2"/>
    </row>
    <row r="451" customFormat="false" ht="15" hidden="false" customHeight="false" outlineLevel="0" collapsed="false">
      <c r="A451" s="6" t="str">
        <f aca="false">IF(D451="","",ROW()-3)</f>
        <v/>
      </c>
      <c r="B451" s="7" t="str">
        <f aca="false">IF($C451="","",IFERROR(INDEX(案件マスタ!$A$4:$A$23,MATCH($C451,案件マスタ!$B$4:$B$23,0)),"?"))</f>
        <v/>
      </c>
      <c r="C451" s="8"/>
      <c r="D451" s="9"/>
      <c r="E451" s="10"/>
      <c r="F451" s="11"/>
      <c r="G451" s="11"/>
      <c r="H451" s="10"/>
      <c r="I451" s="12"/>
      <c r="J451" s="13" t="str">
        <f aca="true">IF(D451="","",IF(H451="完了","✓ DONE",IF(G451="","⚠ NO DUE",IF(G451&lt;TODAY(),"🔴 OVERDUE",IF(G451=TODAY(),"🟡 TODAY","")))))</f>
        <v/>
      </c>
      <c r="K451" s="14"/>
      <c r="L451" s="15" t="str">
        <f aca="false">IF(A451="","",SUMIFS(工数ログ!$E$4:$E$1003,工数ログ!$D$4:$D$1003,$A451))</f>
        <v/>
      </c>
      <c r="M451" s="9"/>
      <c r="N451" s="9"/>
      <c r="O451" s="11"/>
      <c r="P451" s="11"/>
      <c r="Q451" s="2"/>
      <c r="R451" s="2"/>
    </row>
    <row r="452" customFormat="false" ht="15" hidden="false" customHeight="false" outlineLevel="0" collapsed="false">
      <c r="A452" s="6" t="str">
        <f aca="false">IF(D452="","",ROW()-3)</f>
        <v/>
      </c>
      <c r="B452" s="7" t="str">
        <f aca="false">IF($C452="","",IFERROR(INDEX(案件マスタ!$A$4:$A$23,MATCH($C452,案件マスタ!$B$4:$B$23,0)),"?"))</f>
        <v/>
      </c>
      <c r="C452" s="8"/>
      <c r="D452" s="9"/>
      <c r="E452" s="10"/>
      <c r="F452" s="11"/>
      <c r="G452" s="11"/>
      <c r="H452" s="10"/>
      <c r="I452" s="12"/>
      <c r="J452" s="13" t="str">
        <f aca="true">IF(D452="","",IF(H452="完了","✓ DONE",IF(G452="","⚠ NO DUE",IF(G452&lt;TODAY(),"🔴 OVERDUE",IF(G452=TODAY(),"🟡 TODAY","")))))</f>
        <v/>
      </c>
      <c r="K452" s="14"/>
      <c r="L452" s="15" t="str">
        <f aca="false">IF(A452="","",SUMIFS(工数ログ!$E$4:$E$1003,工数ログ!$D$4:$D$1003,$A452))</f>
        <v/>
      </c>
      <c r="M452" s="9"/>
      <c r="N452" s="9"/>
      <c r="O452" s="11"/>
      <c r="P452" s="11"/>
      <c r="Q452" s="2"/>
      <c r="R452" s="2"/>
    </row>
    <row r="453" customFormat="false" ht="15" hidden="false" customHeight="false" outlineLevel="0" collapsed="false">
      <c r="A453" s="6" t="str">
        <f aca="false">IF(D453="","",ROW()-3)</f>
        <v/>
      </c>
      <c r="B453" s="7" t="str">
        <f aca="false">IF($C453="","",IFERROR(INDEX(案件マスタ!$A$4:$A$23,MATCH($C453,案件マスタ!$B$4:$B$23,0)),"?"))</f>
        <v/>
      </c>
      <c r="C453" s="8"/>
      <c r="D453" s="9"/>
      <c r="E453" s="10"/>
      <c r="F453" s="11"/>
      <c r="G453" s="11"/>
      <c r="H453" s="10"/>
      <c r="I453" s="12"/>
      <c r="J453" s="13" t="str">
        <f aca="true">IF(D453="","",IF(H453="完了","✓ DONE",IF(G453="","⚠ NO DUE",IF(G453&lt;TODAY(),"🔴 OVERDUE",IF(G453=TODAY(),"🟡 TODAY","")))))</f>
        <v/>
      </c>
      <c r="K453" s="14"/>
      <c r="L453" s="15" t="str">
        <f aca="false">IF(A453="","",SUMIFS(工数ログ!$E$4:$E$1003,工数ログ!$D$4:$D$1003,$A453))</f>
        <v/>
      </c>
      <c r="M453" s="9"/>
      <c r="N453" s="9"/>
      <c r="O453" s="11"/>
      <c r="P453" s="11"/>
      <c r="Q453" s="2"/>
      <c r="R453" s="2"/>
    </row>
    <row r="454" customFormat="false" ht="15" hidden="false" customHeight="false" outlineLevel="0" collapsed="false">
      <c r="A454" s="6" t="str">
        <f aca="false">IF(D454="","",ROW()-3)</f>
        <v/>
      </c>
      <c r="B454" s="7" t="str">
        <f aca="false">IF($C454="","",IFERROR(INDEX(案件マスタ!$A$4:$A$23,MATCH($C454,案件マスタ!$B$4:$B$23,0)),"?"))</f>
        <v/>
      </c>
      <c r="C454" s="8"/>
      <c r="D454" s="9"/>
      <c r="E454" s="10"/>
      <c r="F454" s="11"/>
      <c r="G454" s="11"/>
      <c r="H454" s="10"/>
      <c r="I454" s="12"/>
      <c r="J454" s="13" t="str">
        <f aca="true">IF(D454="","",IF(H454="完了","✓ DONE",IF(G454="","⚠ NO DUE",IF(G454&lt;TODAY(),"🔴 OVERDUE",IF(G454=TODAY(),"🟡 TODAY","")))))</f>
        <v/>
      </c>
      <c r="K454" s="14"/>
      <c r="L454" s="15" t="str">
        <f aca="false">IF(A454="","",SUMIFS(工数ログ!$E$4:$E$1003,工数ログ!$D$4:$D$1003,$A454))</f>
        <v/>
      </c>
      <c r="M454" s="9"/>
      <c r="N454" s="9"/>
      <c r="O454" s="11"/>
      <c r="P454" s="11"/>
      <c r="Q454" s="2"/>
      <c r="R454" s="2"/>
    </row>
    <row r="455" customFormat="false" ht="15" hidden="false" customHeight="false" outlineLevel="0" collapsed="false">
      <c r="A455" s="6" t="str">
        <f aca="false">IF(D455="","",ROW()-3)</f>
        <v/>
      </c>
      <c r="B455" s="7" t="str">
        <f aca="false">IF($C455="","",IFERROR(INDEX(案件マスタ!$A$4:$A$23,MATCH($C455,案件マスタ!$B$4:$B$23,0)),"?"))</f>
        <v/>
      </c>
      <c r="C455" s="8"/>
      <c r="D455" s="9"/>
      <c r="E455" s="10"/>
      <c r="F455" s="11"/>
      <c r="G455" s="11"/>
      <c r="H455" s="10"/>
      <c r="I455" s="12"/>
      <c r="J455" s="13" t="str">
        <f aca="true">IF(D455="","",IF(H455="完了","✓ DONE",IF(G455="","⚠ NO DUE",IF(G455&lt;TODAY(),"🔴 OVERDUE",IF(G455=TODAY(),"🟡 TODAY","")))))</f>
        <v/>
      </c>
      <c r="K455" s="14"/>
      <c r="L455" s="15" t="str">
        <f aca="false">IF(A455="","",SUMIFS(工数ログ!$E$4:$E$1003,工数ログ!$D$4:$D$1003,$A455))</f>
        <v/>
      </c>
      <c r="M455" s="9"/>
      <c r="N455" s="9"/>
      <c r="O455" s="11"/>
      <c r="P455" s="11"/>
      <c r="Q455" s="2"/>
      <c r="R455" s="2"/>
    </row>
    <row r="456" customFormat="false" ht="15" hidden="false" customHeight="false" outlineLevel="0" collapsed="false">
      <c r="A456" s="6" t="str">
        <f aca="false">IF(D456="","",ROW()-3)</f>
        <v/>
      </c>
      <c r="B456" s="7" t="str">
        <f aca="false">IF($C456="","",IFERROR(INDEX(案件マスタ!$A$4:$A$23,MATCH($C456,案件マスタ!$B$4:$B$23,0)),"?"))</f>
        <v/>
      </c>
      <c r="C456" s="8"/>
      <c r="D456" s="9"/>
      <c r="E456" s="10"/>
      <c r="F456" s="11"/>
      <c r="G456" s="11"/>
      <c r="H456" s="10"/>
      <c r="I456" s="12"/>
      <c r="J456" s="13" t="str">
        <f aca="true">IF(D456="","",IF(H456="完了","✓ DONE",IF(G456="","⚠ NO DUE",IF(G456&lt;TODAY(),"🔴 OVERDUE",IF(G456=TODAY(),"🟡 TODAY","")))))</f>
        <v/>
      </c>
      <c r="K456" s="14"/>
      <c r="L456" s="15" t="str">
        <f aca="false">IF(A456="","",SUMIFS(工数ログ!$E$4:$E$1003,工数ログ!$D$4:$D$1003,$A456))</f>
        <v/>
      </c>
      <c r="M456" s="9"/>
      <c r="N456" s="9"/>
      <c r="O456" s="11"/>
      <c r="P456" s="11"/>
      <c r="Q456" s="2"/>
      <c r="R456" s="2"/>
    </row>
    <row r="457" customFormat="false" ht="15" hidden="false" customHeight="false" outlineLevel="0" collapsed="false">
      <c r="A457" s="6" t="str">
        <f aca="false">IF(D457="","",ROW()-3)</f>
        <v/>
      </c>
      <c r="B457" s="7" t="str">
        <f aca="false">IF($C457="","",IFERROR(INDEX(案件マスタ!$A$4:$A$23,MATCH($C457,案件マスタ!$B$4:$B$23,0)),"?"))</f>
        <v/>
      </c>
      <c r="C457" s="8"/>
      <c r="D457" s="9"/>
      <c r="E457" s="10"/>
      <c r="F457" s="11"/>
      <c r="G457" s="11"/>
      <c r="H457" s="10"/>
      <c r="I457" s="12"/>
      <c r="J457" s="13" t="str">
        <f aca="true">IF(D457="","",IF(H457="完了","✓ DONE",IF(G457="","⚠ NO DUE",IF(G457&lt;TODAY(),"🔴 OVERDUE",IF(G457=TODAY(),"🟡 TODAY","")))))</f>
        <v/>
      </c>
      <c r="K457" s="14"/>
      <c r="L457" s="15" t="str">
        <f aca="false">IF(A457="","",SUMIFS(工数ログ!$E$4:$E$1003,工数ログ!$D$4:$D$1003,$A457))</f>
        <v/>
      </c>
      <c r="M457" s="9"/>
      <c r="N457" s="9"/>
      <c r="O457" s="11"/>
      <c r="P457" s="11"/>
      <c r="Q457" s="2"/>
      <c r="R457" s="2"/>
    </row>
    <row r="458" customFormat="false" ht="15" hidden="false" customHeight="false" outlineLevel="0" collapsed="false">
      <c r="A458" s="6" t="str">
        <f aca="false">IF(D458="","",ROW()-3)</f>
        <v/>
      </c>
      <c r="B458" s="7" t="str">
        <f aca="false">IF($C458="","",IFERROR(INDEX(案件マスタ!$A$4:$A$23,MATCH($C458,案件マスタ!$B$4:$B$23,0)),"?"))</f>
        <v/>
      </c>
      <c r="C458" s="8"/>
      <c r="D458" s="9"/>
      <c r="E458" s="10"/>
      <c r="F458" s="11"/>
      <c r="G458" s="11"/>
      <c r="H458" s="10"/>
      <c r="I458" s="12"/>
      <c r="J458" s="13" t="str">
        <f aca="true">IF(D458="","",IF(H458="完了","✓ DONE",IF(G458="","⚠ NO DUE",IF(G458&lt;TODAY(),"🔴 OVERDUE",IF(G458=TODAY(),"🟡 TODAY","")))))</f>
        <v/>
      </c>
      <c r="K458" s="14"/>
      <c r="L458" s="15" t="str">
        <f aca="false">IF(A458="","",SUMIFS(工数ログ!$E$4:$E$1003,工数ログ!$D$4:$D$1003,$A458))</f>
        <v/>
      </c>
      <c r="M458" s="9"/>
      <c r="N458" s="9"/>
      <c r="O458" s="11"/>
      <c r="P458" s="11"/>
      <c r="Q458" s="2"/>
      <c r="R458" s="2"/>
    </row>
    <row r="459" customFormat="false" ht="15" hidden="false" customHeight="false" outlineLevel="0" collapsed="false">
      <c r="A459" s="6" t="str">
        <f aca="false">IF(D459="","",ROW()-3)</f>
        <v/>
      </c>
      <c r="B459" s="7" t="str">
        <f aca="false">IF($C459="","",IFERROR(INDEX(案件マスタ!$A$4:$A$23,MATCH($C459,案件マスタ!$B$4:$B$23,0)),"?"))</f>
        <v/>
      </c>
      <c r="C459" s="8"/>
      <c r="D459" s="9"/>
      <c r="E459" s="10"/>
      <c r="F459" s="11"/>
      <c r="G459" s="11"/>
      <c r="H459" s="10"/>
      <c r="I459" s="12"/>
      <c r="J459" s="13" t="str">
        <f aca="true">IF(D459="","",IF(H459="完了","✓ DONE",IF(G459="","⚠ NO DUE",IF(G459&lt;TODAY(),"🔴 OVERDUE",IF(G459=TODAY(),"🟡 TODAY","")))))</f>
        <v/>
      </c>
      <c r="K459" s="14"/>
      <c r="L459" s="15" t="str">
        <f aca="false">IF(A459="","",SUMIFS(工数ログ!$E$4:$E$1003,工数ログ!$D$4:$D$1003,$A459))</f>
        <v/>
      </c>
      <c r="M459" s="9"/>
      <c r="N459" s="9"/>
      <c r="O459" s="11"/>
      <c r="P459" s="11"/>
      <c r="Q459" s="2"/>
      <c r="R459" s="2"/>
    </row>
    <row r="460" customFormat="false" ht="15" hidden="false" customHeight="false" outlineLevel="0" collapsed="false">
      <c r="A460" s="6" t="str">
        <f aca="false">IF(D460="","",ROW()-3)</f>
        <v/>
      </c>
      <c r="B460" s="7" t="str">
        <f aca="false">IF($C460="","",IFERROR(INDEX(案件マスタ!$A$4:$A$23,MATCH($C460,案件マスタ!$B$4:$B$23,0)),"?"))</f>
        <v/>
      </c>
      <c r="C460" s="8"/>
      <c r="D460" s="9"/>
      <c r="E460" s="10"/>
      <c r="F460" s="11"/>
      <c r="G460" s="11"/>
      <c r="H460" s="10"/>
      <c r="I460" s="12"/>
      <c r="J460" s="13" t="str">
        <f aca="true">IF(D460="","",IF(H460="完了","✓ DONE",IF(G460="","⚠ NO DUE",IF(G460&lt;TODAY(),"🔴 OVERDUE",IF(G460=TODAY(),"🟡 TODAY","")))))</f>
        <v/>
      </c>
      <c r="K460" s="14"/>
      <c r="L460" s="15" t="str">
        <f aca="false">IF(A460="","",SUMIFS(工数ログ!$E$4:$E$1003,工数ログ!$D$4:$D$1003,$A460))</f>
        <v/>
      </c>
      <c r="M460" s="9"/>
      <c r="N460" s="9"/>
      <c r="O460" s="11"/>
      <c r="P460" s="11"/>
      <c r="Q460" s="2"/>
      <c r="R460" s="2"/>
    </row>
    <row r="461" customFormat="false" ht="15" hidden="false" customHeight="false" outlineLevel="0" collapsed="false">
      <c r="A461" s="6" t="str">
        <f aca="false">IF(D461="","",ROW()-3)</f>
        <v/>
      </c>
      <c r="B461" s="7" t="str">
        <f aca="false">IF($C461="","",IFERROR(INDEX(案件マスタ!$A$4:$A$23,MATCH($C461,案件マスタ!$B$4:$B$23,0)),"?"))</f>
        <v/>
      </c>
      <c r="C461" s="8"/>
      <c r="D461" s="9"/>
      <c r="E461" s="10"/>
      <c r="F461" s="11"/>
      <c r="G461" s="11"/>
      <c r="H461" s="10"/>
      <c r="I461" s="12"/>
      <c r="J461" s="13" t="str">
        <f aca="true">IF(D461="","",IF(H461="完了","✓ DONE",IF(G461="","⚠ NO DUE",IF(G461&lt;TODAY(),"🔴 OVERDUE",IF(G461=TODAY(),"🟡 TODAY","")))))</f>
        <v/>
      </c>
      <c r="K461" s="14"/>
      <c r="L461" s="15" t="str">
        <f aca="false">IF(A461="","",SUMIFS(工数ログ!$E$4:$E$1003,工数ログ!$D$4:$D$1003,$A461))</f>
        <v/>
      </c>
      <c r="M461" s="9"/>
      <c r="N461" s="9"/>
      <c r="O461" s="11"/>
      <c r="P461" s="11"/>
      <c r="Q461" s="2"/>
      <c r="R461" s="2"/>
    </row>
    <row r="462" customFormat="false" ht="15" hidden="false" customHeight="false" outlineLevel="0" collapsed="false">
      <c r="A462" s="6" t="str">
        <f aca="false">IF(D462="","",ROW()-3)</f>
        <v/>
      </c>
      <c r="B462" s="7" t="str">
        <f aca="false">IF($C462="","",IFERROR(INDEX(案件マスタ!$A$4:$A$23,MATCH($C462,案件マスタ!$B$4:$B$23,0)),"?"))</f>
        <v/>
      </c>
      <c r="C462" s="8"/>
      <c r="D462" s="9"/>
      <c r="E462" s="10"/>
      <c r="F462" s="11"/>
      <c r="G462" s="11"/>
      <c r="H462" s="10"/>
      <c r="I462" s="12"/>
      <c r="J462" s="13" t="str">
        <f aca="true">IF(D462="","",IF(H462="完了","✓ DONE",IF(G462="","⚠ NO DUE",IF(G462&lt;TODAY(),"🔴 OVERDUE",IF(G462=TODAY(),"🟡 TODAY","")))))</f>
        <v/>
      </c>
      <c r="K462" s="14"/>
      <c r="L462" s="15" t="str">
        <f aca="false">IF(A462="","",SUMIFS(工数ログ!$E$4:$E$1003,工数ログ!$D$4:$D$1003,$A462))</f>
        <v/>
      </c>
      <c r="M462" s="9"/>
      <c r="N462" s="9"/>
      <c r="O462" s="11"/>
      <c r="P462" s="11"/>
      <c r="Q462" s="2"/>
      <c r="R462" s="2"/>
    </row>
    <row r="463" customFormat="false" ht="15" hidden="false" customHeight="false" outlineLevel="0" collapsed="false">
      <c r="A463" s="6" t="str">
        <f aca="false">IF(D463="","",ROW()-3)</f>
        <v/>
      </c>
      <c r="B463" s="7" t="str">
        <f aca="false">IF($C463="","",IFERROR(INDEX(案件マスタ!$A$4:$A$23,MATCH($C463,案件マスタ!$B$4:$B$23,0)),"?"))</f>
        <v/>
      </c>
      <c r="C463" s="8"/>
      <c r="D463" s="9"/>
      <c r="E463" s="10"/>
      <c r="F463" s="11"/>
      <c r="G463" s="11"/>
      <c r="H463" s="10"/>
      <c r="I463" s="12"/>
      <c r="J463" s="13" t="str">
        <f aca="true">IF(D463="","",IF(H463="完了","✓ DONE",IF(G463="","⚠ NO DUE",IF(G463&lt;TODAY(),"🔴 OVERDUE",IF(G463=TODAY(),"🟡 TODAY","")))))</f>
        <v/>
      </c>
      <c r="K463" s="14"/>
      <c r="L463" s="15" t="str">
        <f aca="false">IF(A463="","",SUMIFS(工数ログ!$E$4:$E$1003,工数ログ!$D$4:$D$1003,$A463))</f>
        <v/>
      </c>
      <c r="M463" s="9"/>
      <c r="N463" s="9"/>
      <c r="O463" s="11"/>
      <c r="P463" s="11"/>
      <c r="Q463" s="2"/>
      <c r="R463" s="2"/>
    </row>
    <row r="464" customFormat="false" ht="15" hidden="false" customHeight="false" outlineLevel="0" collapsed="false">
      <c r="A464" s="6" t="str">
        <f aca="false">IF(D464="","",ROW()-3)</f>
        <v/>
      </c>
      <c r="B464" s="7" t="str">
        <f aca="false">IF($C464="","",IFERROR(INDEX(案件マスタ!$A$4:$A$23,MATCH($C464,案件マスタ!$B$4:$B$23,0)),"?"))</f>
        <v/>
      </c>
      <c r="C464" s="8"/>
      <c r="D464" s="9"/>
      <c r="E464" s="10"/>
      <c r="F464" s="11"/>
      <c r="G464" s="11"/>
      <c r="H464" s="10"/>
      <c r="I464" s="12"/>
      <c r="J464" s="13" t="str">
        <f aca="true">IF(D464="","",IF(H464="完了","✓ DONE",IF(G464="","⚠ NO DUE",IF(G464&lt;TODAY(),"🔴 OVERDUE",IF(G464=TODAY(),"🟡 TODAY","")))))</f>
        <v/>
      </c>
      <c r="K464" s="14"/>
      <c r="L464" s="15" t="str">
        <f aca="false">IF(A464="","",SUMIFS(工数ログ!$E$4:$E$1003,工数ログ!$D$4:$D$1003,$A464))</f>
        <v/>
      </c>
      <c r="M464" s="9"/>
      <c r="N464" s="9"/>
      <c r="O464" s="11"/>
      <c r="P464" s="11"/>
      <c r="Q464" s="2"/>
      <c r="R464" s="2"/>
    </row>
    <row r="465" customFormat="false" ht="15" hidden="false" customHeight="false" outlineLevel="0" collapsed="false">
      <c r="A465" s="6" t="str">
        <f aca="false">IF(D465="","",ROW()-3)</f>
        <v/>
      </c>
      <c r="B465" s="7" t="str">
        <f aca="false">IF($C465="","",IFERROR(INDEX(案件マスタ!$A$4:$A$23,MATCH($C465,案件マスタ!$B$4:$B$23,0)),"?"))</f>
        <v/>
      </c>
      <c r="C465" s="8"/>
      <c r="D465" s="9"/>
      <c r="E465" s="10"/>
      <c r="F465" s="11"/>
      <c r="G465" s="11"/>
      <c r="H465" s="10"/>
      <c r="I465" s="12"/>
      <c r="J465" s="13" t="str">
        <f aca="true">IF(D465="","",IF(H465="完了","✓ DONE",IF(G465="","⚠ NO DUE",IF(G465&lt;TODAY(),"🔴 OVERDUE",IF(G465=TODAY(),"🟡 TODAY","")))))</f>
        <v/>
      </c>
      <c r="K465" s="14"/>
      <c r="L465" s="15" t="str">
        <f aca="false">IF(A465="","",SUMIFS(工数ログ!$E$4:$E$1003,工数ログ!$D$4:$D$1003,$A465))</f>
        <v/>
      </c>
      <c r="M465" s="9"/>
      <c r="N465" s="9"/>
      <c r="O465" s="11"/>
      <c r="P465" s="11"/>
      <c r="Q465" s="2"/>
      <c r="R465" s="2"/>
    </row>
    <row r="466" customFormat="false" ht="15" hidden="false" customHeight="false" outlineLevel="0" collapsed="false">
      <c r="A466" s="6" t="str">
        <f aca="false">IF(D466="","",ROW()-3)</f>
        <v/>
      </c>
      <c r="B466" s="7" t="str">
        <f aca="false">IF($C466="","",IFERROR(INDEX(案件マスタ!$A$4:$A$23,MATCH($C466,案件マスタ!$B$4:$B$23,0)),"?"))</f>
        <v/>
      </c>
      <c r="C466" s="8"/>
      <c r="D466" s="9"/>
      <c r="E466" s="10"/>
      <c r="F466" s="11"/>
      <c r="G466" s="11"/>
      <c r="H466" s="10"/>
      <c r="I466" s="12"/>
      <c r="J466" s="13" t="str">
        <f aca="true">IF(D466="","",IF(H466="完了","✓ DONE",IF(G466="","⚠ NO DUE",IF(G466&lt;TODAY(),"🔴 OVERDUE",IF(G466=TODAY(),"🟡 TODAY","")))))</f>
        <v/>
      </c>
      <c r="K466" s="14"/>
      <c r="L466" s="15" t="str">
        <f aca="false">IF(A466="","",SUMIFS(工数ログ!$E$4:$E$1003,工数ログ!$D$4:$D$1003,$A466))</f>
        <v/>
      </c>
      <c r="M466" s="9"/>
      <c r="N466" s="9"/>
      <c r="O466" s="11"/>
      <c r="P466" s="11"/>
      <c r="Q466" s="2"/>
      <c r="R466" s="2"/>
    </row>
    <row r="467" customFormat="false" ht="15" hidden="false" customHeight="false" outlineLevel="0" collapsed="false">
      <c r="A467" s="6" t="str">
        <f aca="false">IF(D467="","",ROW()-3)</f>
        <v/>
      </c>
      <c r="B467" s="7" t="str">
        <f aca="false">IF($C467="","",IFERROR(INDEX(案件マスタ!$A$4:$A$23,MATCH($C467,案件マスタ!$B$4:$B$23,0)),"?"))</f>
        <v/>
      </c>
      <c r="C467" s="8"/>
      <c r="D467" s="9"/>
      <c r="E467" s="10"/>
      <c r="F467" s="11"/>
      <c r="G467" s="11"/>
      <c r="H467" s="10"/>
      <c r="I467" s="12"/>
      <c r="J467" s="13" t="str">
        <f aca="true">IF(D467="","",IF(H467="完了","✓ DONE",IF(G467="","⚠ NO DUE",IF(G467&lt;TODAY(),"🔴 OVERDUE",IF(G467=TODAY(),"🟡 TODAY","")))))</f>
        <v/>
      </c>
      <c r="K467" s="14"/>
      <c r="L467" s="15" t="str">
        <f aca="false">IF(A467="","",SUMIFS(工数ログ!$E$4:$E$1003,工数ログ!$D$4:$D$1003,$A467))</f>
        <v/>
      </c>
      <c r="M467" s="9"/>
      <c r="N467" s="9"/>
      <c r="O467" s="11"/>
      <c r="P467" s="11"/>
      <c r="Q467" s="2"/>
      <c r="R467" s="2"/>
    </row>
    <row r="468" customFormat="false" ht="15" hidden="false" customHeight="false" outlineLevel="0" collapsed="false">
      <c r="A468" s="6" t="str">
        <f aca="false">IF(D468="","",ROW()-3)</f>
        <v/>
      </c>
      <c r="B468" s="7" t="str">
        <f aca="false">IF($C468="","",IFERROR(INDEX(案件マスタ!$A$4:$A$23,MATCH($C468,案件マスタ!$B$4:$B$23,0)),"?"))</f>
        <v/>
      </c>
      <c r="C468" s="8"/>
      <c r="D468" s="9"/>
      <c r="E468" s="10"/>
      <c r="F468" s="11"/>
      <c r="G468" s="11"/>
      <c r="H468" s="10"/>
      <c r="I468" s="12"/>
      <c r="J468" s="13" t="str">
        <f aca="true">IF(D468="","",IF(H468="完了","✓ DONE",IF(G468="","⚠ NO DUE",IF(G468&lt;TODAY(),"🔴 OVERDUE",IF(G468=TODAY(),"🟡 TODAY","")))))</f>
        <v/>
      </c>
      <c r="K468" s="14"/>
      <c r="L468" s="15" t="str">
        <f aca="false">IF(A468="","",SUMIFS(工数ログ!$E$4:$E$1003,工数ログ!$D$4:$D$1003,$A468))</f>
        <v/>
      </c>
      <c r="M468" s="9"/>
      <c r="N468" s="9"/>
      <c r="O468" s="11"/>
      <c r="P468" s="11"/>
      <c r="Q468" s="2"/>
      <c r="R468" s="2"/>
    </row>
    <row r="469" customFormat="false" ht="15" hidden="false" customHeight="false" outlineLevel="0" collapsed="false">
      <c r="A469" s="6" t="str">
        <f aca="false">IF(D469="","",ROW()-3)</f>
        <v/>
      </c>
      <c r="B469" s="7" t="str">
        <f aca="false">IF($C469="","",IFERROR(INDEX(案件マスタ!$A$4:$A$23,MATCH($C469,案件マスタ!$B$4:$B$23,0)),"?"))</f>
        <v/>
      </c>
      <c r="C469" s="8"/>
      <c r="D469" s="9"/>
      <c r="E469" s="10"/>
      <c r="F469" s="11"/>
      <c r="G469" s="11"/>
      <c r="H469" s="10"/>
      <c r="I469" s="12"/>
      <c r="J469" s="13" t="str">
        <f aca="true">IF(D469="","",IF(H469="完了","✓ DONE",IF(G469="","⚠ NO DUE",IF(G469&lt;TODAY(),"🔴 OVERDUE",IF(G469=TODAY(),"🟡 TODAY","")))))</f>
        <v/>
      </c>
      <c r="K469" s="14"/>
      <c r="L469" s="15" t="str">
        <f aca="false">IF(A469="","",SUMIFS(工数ログ!$E$4:$E$1003,工数ログ!$D$4:$D$1003,$A469))</f>
        <v/>
      </c>
      <c r="M469" s="9"/>
      <c r="N469" s="9"/>
      <c r="O469" s="11"/>
      <c r="P469" s="11"/>
      <c r="Q469" s="2"/>
      <c r="R469" s="2"/>
    </row>
    <row r="470" customFormat="false" ht="15" hidden="false" customHeight="false" outlineLevel="0" collapsed="false">
      <c r="A470" s="6" t="str">
        <f aca="false">IF(D470="","",ROW()-3)</f>
        <v/>
      </c>
      <c r="B470" s="7" t="str">
        <f aca="false">IF($C470="","",IFERROR(INDEX(案件マスタ!$A$4:$A$23,MATCH($C470,案件マスタ!$B$4:$B$23,0)),"?"))</f>
        <v/>
      </c>
      <c r="C470" s="8"/>
      <c r="D470" s="9"/>
      <c r="E470" s="10"/>
      <c r="F470" s="11"/>
      <c r="G470" s="11"/>
      <c r="H470" s="10"/>
      <c r="I470" s="12"/>
      <c r="J470" s="13" t="str">
        <f aca="true">IF(D470="","",IF(H470="完了","✓ DONE",IF(G470="","⚠ NO DUE",IF(G470&lt;TODAY(),"🔴 OVERDUE",IF(G470=TODAY(),"🟡 TODAY","")))))</f>
        <v/>
      </c>
      <c r="K470" s="14"/>
      <c r="L470" s="15" t="str">
        <f aca="false">IF(A470="","",SUMIFS(工数ログ!$E$4:$E$1003,工数ログ!$D$4:$D$1003,$A470))</f>
        <v/>
      </c>
      <c r="M470" s="9"/>
      <c r="N470" s="9"/>
      <c r="O470" s="11"/>
      <c r="P470" s="11"/>
      <c r="Q470" s="2"/>
      <c r="R470" s="2"/>
    </row>
    <row r="471" customFormat="false" ht="15" hidden="false" customHeight="false" outlineLevel="0" collapsed="false">
      <c r="A471" s="6" t="str">
        <f aca="false">IF(D471="","",ROW()-3)</f>
        <v/>
      </c>
      <c r="B471" s="7" t="str">
        <f aca="false">IF($C471="","",IFERROR(INDEX(案件マスタ!$A$4:$A$23,MATCH($C471,案件マスタ!$B$4:$B$23,0)),"?"))</f>
        <v/>
      </c>
      <c r="C471" s="8"/>
      <c r="D471" s="9"/>
      <c r="E471" s="10"/>
      <c r="F471" s="11"/>
      <c r="G471" s="11"/>
      <c r="H471" s="10"/>
      <c r="I471" s="12"/>
      <c r="J471" s="13" t="str">
        <f aca="true">IF(D471="","",IF(H471="完了","✓ DONE",IF(G471="","⚠ NO DUE",IF(G471&lt;TODAY(),"🔴 OVERDUE",IF(G471=TODAY(),"🟡 TODAY","")))))</f>
        <v/>
      </c>
      <c r="K471" s="14"/>
      <c r="L471" s="15" t="str">
        <f aca="false">IF(A471="","",SUMIFS(工数ログ!$E$4:$E$1003,工数ログ!$D$4:$D$1003,$A471))</f>
        <v/>
      </c>
      <c r="M471" s="9"/>
      <c r="N471" s="9"/>
      <c r="O471" s="11"/>
      <c r="P471" s="11"/>
      <c r="Q471" s="2"/>
      <c r="R471" s="2"/>
    </row>
    <row r="472" customFormat="false" ht="15" hidden="false" customHeight="false" outlineLevel="0" collapsed="false">
      <c r="A472" s="6" t="str">
        <f aca="false">IF(D472="","",ROW()-3)</f>
        <v/>
      </c>
      <c r="B472" s="7" t="str">
        <f aca="false">IF($C472="","",IFERROR(INDEX(案件マスタ!$A$4:$A$23,MATCH($C472,案件マスタ!$B$4:$B$23,0)),"?"))</f>
        <v/>
      </c>
      <c r="C472" s="8"/>
      <c r="D472" s="9"/>
      <c r="E472" s="10"/>
      <c r="F472" s="11"/>
      <c r="G472" s="11"/>
      <c r="H472" s="10"/>
      <c r="I472" s="12"/>
      <c r="J472" s="13" t="str">
        <f aca="true">IF(D472="","",IF(H472="完了","✓ DONE",IF(G472="","⚠ NO DUE",IF(G472&lt;TODAY(),"🔴 OVERDUE",IF(G472=TODAY(),"🟡 TODAY","")))))</f>
        <v/>
      </c>
      <c r="K472" s="14"/>
      <c r="L472" s="15" t="str">
        <f aca="false">IF(A472="","",SUMIFS(工数ログ!$E$4:$E$1003,工数ログ!$D$4:$D$1003,$A472))</f>
        <v/>
      </c>
      <c r="M472" s="9"/>
      <c r="N472" s="9"/>
      <c r="O472" s="11"/>
      <c r="P472" s="11"/>
      <c r="Q472" s="2"/>
      <c r="R472" s="2"/>
    </row>
    <row r="473" customFormat="false" ht="15" hidden="false" customHeight="false" outlineLevel="0" collapsed="false">
      <c r="A473" s="6" t="str">
        <f aca="false">IF(D473="","",ROW()-3)</f>
        <v/>
      </c>
      <c r="B473" s="7" t="str">
        <f aca="false">IF($C473="","",IFERROR(INDEX(案件マスタ!$A$4:$A$23,MATCH($C473,案件マスタ!$B$4:$B$23,0)),"?"))</f>
        <v/>
      </c>
      <c r="C473" s="8"/>
      <c r="D473" s="9"/>
      <c r="E473" s="10"/>
      <c r="F473" s="11"/>
      <c r="G473" s="11"/>
      <c r="H473" s="10"/>
      <c r="I473" s="12"/>
      <c r="J473" s="13" t="str">
        <f aca="true">IF(D473="","",IF(H473="完了","✓ DONE",IF(G473="","⚠ NO DUE",IF(G473&lt;TODAY(),"🔴 OVERDUE",IF(G473=TODAY(),"🟡 TODAY","")))))</f>
        <v/>
      </c>
      <c r="K473" s="14"/>
      <c r="L473" s="15" t="str">
        <f aca="false">IF(A473="","",SUMIFS(工数ログ!$E$4:$E$1003,工数ログ!$D$4:$D$1003,$A473))</f>
        <v/>
      </c>
      <c r="M473" s="9"/>
      <c r="N473" s="9"/>
      <c r="O473" s="11"/>
      <c r="P473" s="11"/>
      <c r="Q473" s="2"/>
      <c r="R473" s="2"/>
    </row>
    <row r="474" customFormat="false" ht="15" hidden="false" customHeight="false" outlineLevel="0" collapsed="false">
      <c r="A474" s="6" t="str">
        <f aca="false">IF(D474="","",ROW()-3)</f>
        <v/>
      </c>
      <c r="B474" s="7" t="str">
        <f aca="false">IF($C474="","",IFERROR(INDEX(案件マスタ!$A$4:$A$23,MATCH($C474,案件マスタ!$B$4:$B$23,0)),"?"))</f>
        <v/>
      </c>
      <c r="C474" s="8"/>
      <c r="D474" s="9"/>
      <c r="E474" s="10"/>
      <c r="F474" s="11"/>
      <c r="G474" s="11"/>
      <c r="H474" s="10"/>
      <c r="I474" s="12"/>
      <c r="J474" s="13" t="str">
        <f aca="true">IF(D474="","",IF(H474="完了","✓ DONE",IF(G474="","⚠ NO DUE",IF(G474&lt;TODAY(),"🔴 OVERDUE",IF(G474=TODAY(),"🟡 TODAY","")))))</f>
        <v/>
      </c>
      <c r="K474" s="14"/>
      <c r="L474" s="15" t="str">
        <f aca="false">IF(A474="","",SUMIFS(工数ログ!$E$4:$E$1003,工数ログ!$D$4:$D$1003,$A474))</f>
        <v/>
      </c>
      <c r="M474" s="9"/>
      <c r="N474" s="9"/>
      <c r="O474" s="11"/>
      <c r="P474" s="11"/>
      <c r="Q474" s="2"/>
      <c r="R474" s="2"/>
    </row>
    <row r="475" customFormat="false" ht="15" hidden="false" customHeight="false" outlineLevel="0" collapsed="false">
      <c r="A475" s="6" t="str">
        <f aca="false">IF(D475="","",ROW()-3)</f>
        <v/>
      </c>
      <c r="B475" s="7" t="str">
        <f aca="false">IF($C475="","",IFERROR(INDEX(案件マスタ!$A$4:$A$23,MATCH($C475,案件マスタ!$B$4:$B$23,0)),"?"))</f>
        <v/>
      </c>
      <c r="C475" s="8"/>
      <c r="D475" s="9"/>
      <c r="E475" s="10"/>
      <c r="F475" s="11"/>
      <c r="G475" s="11"/>
      <c r="H475" s="10"/>
      <c r="I475" s="12"/>
      <c r="J475" s="13" t="str">
        <f aca="true">IF(D475="","",IF(H475="完了","✓ DONE",IF(G475="","⚠ NO DUE",IF(G475&lt;TODAY(),"🔴 OVERDUE",IF(G475=TODAY(),"🟡 TODAY","")))))</f>
        <v/>
      </c>
      <c r="K475" s="14"/>
      <c r="L475" s="15" t="str">
        <f aca="false">IF(A475="","",SUMIFS(工数ログ!$E$4:$E$1003,工数ログ!$D$4:$D$1003,$A475))</f>
        <v/>
      </c>
      <c r="M475" s="9"/>
      <c r="N475" s="9"/>
      <c r="O475" s="11"/>
      <c r="P475" s="11"/>
      <c r="Q475" s="2"/>
      <c r="R475" s="2"/>
    </row>
    <row r="476" customFormat="false" ht="15" hidden="false" customHeight="false" outlineLevel="0" collapsed="false">
      <c r="A476" s="6" t="str">
        <f aca="false">IF(D476="","",ROW()-3)</f>
        <v/>
      </c>
      <c r="B476" s="7" t="str">
        <f aca="false">IF($C476="","",IFERROR(INDEX(案件マスタ!$A$4:$A$23,MATCH($C476,案件マスタ!$B$4:$B$23,0)),"?"))</f>
        <v/>
      </c>
      <c r="C476" s="8"/>
      <c r="D476" s="9"/>
      <c r="E476" s="10"/>
      <c r="F476" s="11"/>
      <c r="G476" s="11"/>
      <c r="H476" s="10"/>
      <c r="I476" s="12"/>
      <c r="J476" s="13" t="str">
        <f aca="true">IF(D476="","",IF(H476="完了","✓ DONE",IF(G476="","⚠ NO DUE",IF(G476&lt;TODAY(),"🔴 OVERDUE",IF(G476=TODAY(),"🟡 TODAY","")))))</f>
        <v/>
      </c>
      <c r="K476" s="14"/>
      <c r="L476" s="15" t="str">
        <f aca="false">IF(A476="","",SUMIFS(工数ログ!$E$4:$E$1003,工数ログ!$D$4:$D$1003,$A476))</f>
        <v/>
      </c>
      <c r="M476" s="9"/>
      <c r="N476" s="9"/>
      <c r="O476" s="11"/>
      <c r="P476" s="11"/>
      <c r="Q476" s="2"/>
      <c r="R476" s="2"/>
    </row>
    <row r="477" customFormat="false" ht="15" hidden="false" customHeight="false" outlineLevel="0" collapsed="false">
      <c r="A477" s="6" t="str">
        <f aca="false">IF(D477="","",ROW()-3)</f>
        <v/>
      </c>
      <c r="B477" s="7" t="str">
        <f aca="false">IF($C477="","",IFERROR(INDEX(案件マスタ!$A$4:$A$23,MATCH($C477,案件マスタ!$B$4:$B$23,0)),"?"))</f>
        <v/>
      </c>
      <c r="C477" s="8"/>
      <c r="D477" s="9"/>
      <c r="E477" s="10"/>
      <c r="F477" s="11"/>
      <c r="G477" s="11"/>
      <c r="H477" s="10"/>
      <c r="I477" s="12"/>
      <c r="J477" s="13" t="str">
        <f aca="true">IF(D477="","",IF(H477="完了","✓ DONE",IF(G477="","⚠ NO DUE",IF(G477&lt;TODAY(),"🔴 OVERDUE",IF(G477=TODAY(),"🟡 TODAY","")))))</f>
        <v/>
      </c>
      <c r="K477" s="14"/>
      <c r="L477" s="15" t="str">
        <f aca="false">IF(A477="","",SUMIFS(工数ログ!$E$4:$E$1003,工数ログ!$D$4:$D$1003,$A477))</f>
        <v/>
      </c>
      <c r="M477" s="9"/>
      <c r="N477" s="9"/>
      <c r="O477" s="11"/>
      <c r="P477" s="11"/>
      <c r="Q477" s="2"/>
      <c r="R477" s="2"/>
    </row>
    <row r="478" customFormat="false" ht="15" hidden="false" customHeight="false" outlineLevel="0" collapsed="false">
      <c r="A478" s="6" t="str">
        <f aca="false">IF(D478="","",ROW()-3)</f>
        <v/>
      </c>
      <c r="B478" s="7" t="str">
        <f aca="false">IF($C478="","",IFERROR(INDEX(案件マスタ!$A$4:$A$23,MATCH($C478,案件マスタ!$B$4:$B$23,0)),"?"))</f>
        <v/>
      </c>
      <c r="C478" s="8"/>
      <c r="D478" s="9"/>
      <c r="E478" s="10"/>
      <c r="F478" s="11"/>
      <c r="G478" s="11"/>
      <c r="H478" s="10"/>
      <c r="I478" s="12"/>
      <c r="J478" s="13" t="str">
        <f aca="true">IF(D478="","",IF(H478="完了","✓ DONE",IF(G478="","⚠ NO DUE",IF(G478&lt;TODAY(),"🔴 OVERDUE",IF(G478=TODAY(),"🟡 TODAY","")))))</f>
        <v/>
      </c>
      <c r="K478" s="14"/>
      <c r="L478" s="15" t="str">
        <f aca="false">IF(A478="","",SUMIFS(工数ログ!$E$4:$E$1003,工数ログ!$D$4:$D$1003,$A478))</f>
        <v/>
      </c>
      <c r="M478" s="9"/>
      <c r="N478" s="9"/>
      <c r="O478" s="11"/>
      <c r="P478" s="11"/>
      <c r="Q478" s="2"/>
      <c r="R478" s="2"/>
    </row>
    <row r="479" customFormat="false" ht="15" hidden="false" customHeight="false" outlineLevel="0" collapsed="false">
      <c r="A479" s="6" t="str">
        <f aca="false">IF(D479="","",ROW()-3)</f>
        <v/>
      </c>
      <c r="B479" s="7" t="str">
        <f aca="false">IF($C479="","",IFERROR(INDEX(案件マスタ!$A$4:$A$23,MATCH($C479,案件マスタ!$B$4:$B$23,0)),"?"))</f>
        <v/>
      </c>
      <c r="C479" s="8"/>
      <c r="D479" s="9"/>
      <c r="E479" s="10"/>
      <c r="F479" s="11"/>
      <c r="G479" s="11"/>
      <c r="H479" s="10"/>
      <c r="I479" s="12"/>
      <c r="J479" s="13" t="str">
        <f aca="true">IF(D479="","",IF(H479="完了","✓ DONE",IF(G479="","⚠ NO DUE",IF(G479&lt;TODAY(),"🔴 OVERDUE",IF(G479=TODAY(),"🟡 TODAY","")))))</f>
        <v/>
      </c>
      <c r="K479" s="14"/>
      <c r="L479" s="15" t="str">
        <f aca="false">IF(A479="","",SUMIFS(工数ログ!$E$4:$E$1003,工数ログ!$D$4:$D$1003,$A479))</f>
        <v/>
      </c>
      <c r="M479" s="9"/>
      <c r="N479" s="9"/>
      <c r="O479" s="11"/>
      <c r="P479" s="11"/>
      <c r="Q479" s="2"/>
      <c r="R479" s="2"/>
    </row>
    <row r="480" customFormat="false" ht="15" hidden="false" customHeight="false" outlineLevel="0" collapsed="false">
      <c r="A480" s="6" t="str">
        <f aca="false">IF(D480="","",ROW()-3)</f>
        <v/>
      </c>
      <c r="B480" s="7" t="str">
        <f aca="false">IF($C480="","",IFERROR(INDEX(案件マスタ!$A$4:$A$23,MATCH($C480,案件マスタ!$B$4:$B$23,0)),"?"))</f>
        <v/>
      </c>
      <c r="C480" s="8"/>
      <c r="D480" s="9"/>
      <c r="E480" s="10"/>
      <c r="F480" s="11"/>
      <c r="G480" s="11"/>
      <c r="H480" s="10"/>
      <c r="I480" s="12"/>
      <c r="J480" s="13" t="str">
        <f aca="true">IF(D480="","",IF(H480="完了","✓ DONE",IF(G480="","⚠ NO DUE",IF(G480&lt;TODAY(),"🔴 OVERDUE",IF(G480=TODAY(),"🟡 TODAY","")))))</f>
        <v/>
      </c>
      <c r="K480" s="14"/>
      <c r="L480" s="15" t="str">
        <f aca="false">IF(A480="","",SUMIFS(工数ログ!$E$4:$E$1003,工数ログ!$D$4:$D$1003,$A480))</f>
        <v/>
      </c>
      <c r="M480" s="9"/>
      <c r="N480" s="9"/>
      <c r="O480" s="11"/>
      <c r="P480" s="11"/>
      <c r="Q480" s="2"/>
      <c r="R480" s="2"/>
    </row>
    <row r="481" customFormat="false" ht="15" hidden="false" customHeight="false" outlineLevel="0" collapsed="false">
      <c r="A481" s="6" t="str">
        <f aca="false">IF(D481="","",ROW()-3)</f>
        <v/>
      </c>
      <c r="B481" s="7" t="str">
        <f aca="false">IF($C481="","",IFERROR(INDEX(案件マスタ!$A$4:$A$23,MATCH($C481,案件マスタ!$B$4:$B$23,0)),"?"))</f>
        <v/>
      </c>
      <c r="C481" s="8"/>
      <c r="D481" s="9"/>
      <c r="E481" s="10"/>
      <c r="F481" s="11"/>
      <c r="G481" s="11"/>
      <c r="H481" s="10"/>
      <c r="I481" s="12"/>
      <c r="J481" s="13" t="str">
        <f aca="true">IF(D481="","",IF(H481="完了","✓ DONE",IF(G481="","⚠ NO DUE",IF(G481&lt;TODAY(),"🔴 OVERDUE",IF(G481=TODAY(),"🟡 TODAY","")))))</f>
        <v/>
      </c>
      <c r="K481" s="14"/>
      <c r="L481" s="15" t="str">
        <f aca="false">IF(A481="","",SUMIFS(工数ログ!$E$4:$E$1003,工数ログ!$D$4:$D$1003,$A481))</f>
        <v/>
      </c>
      <c r="M481" s="9"/>
      <c r="N481" s="9"/>
      <c r="O481" s="11"/>
      <c r="P481" s="11"/>
      <c r="Q481" s="2"/>
      <c r="R481" s="2"/>
    </row>
    <row r="482" customFormat="false" ht="15" hidden="false" customHeight="false" outlineLevel="0" collapsed="false">
      <c r="A482" s="6" t="str">
        <f aca="false">IF(D482="","",ROW()-3)</f>
        <v/>
      </c>
      <c r="B482" s="7" t="str">
        <f aca="false">IF($C482="","",IFERROR(INDEX(案件マスタ!$A$4:$A$23,MATCH($C482,案件マスタ!$B$4:$B$23,0)),"?"))</f>
        <v/>
      </c>
      <c r="C482" s="8"/>
      <c r="D482" s="9"/>
      <c r="E482" s="10"/>
      <c r="F482" s="11"/>
      <c r="G482" s="11"/>
      <c r="H482" s="10"/>
      <c r="I482" s="12"/>
      <c r="J482" s="13" t="str">
        <f aca="true">IF(D482="","",IF(H482="完了","✓ DONE",IF(G482="","⚠ NO DUE",IF(G482&lt;TODAY(),"🔴 OVERDUE",IF(G482=TODAY(),"🟡 TODAY","")))))</f>
        <v/>
      </c>
      <c r="K482" s="14"/>
      <c r="L482" s="15" t="str">
        <f aca="false">IF(A482="","",SUMIFS(工数ログ!$E$4:$E$1003,工数ログ!$D$4:$D$1003,$A482))</f>
        <v/>
      </c>
      <c r="M482" s="9"/>
      <c r="N482" s="9"/>
      <c r="O482" s="11"/>
      <c r="P482" s="11"/>
      <c r="Q482" s="2"/>
      <c r="R482" s="2"/>
    </row>
    <row r="483" customFormat="false" ht="15" hidden="false" customHeight="false" outlineLevel="0" collapsed="false">
      <c r="A483" s="6" t="str">
        <f aca="false">IF(D483="","",ROW()-3)</f>
        <v/>
      </c>
      <c r="B483" s="7" t="str">
        <f aca="false">IF($C483="","",IFERROR(INDEX(案件マスタ!$A$4:$A$23,MATCH($C483,案件マスタ!$B$4:$B$23,0)),"?"))</f>
        <v/>
      </c>
      <c r="C483" s="8"/>
      <c r="D483" s="9"/>
      <c r="E483" s="10"/>
      <c r="F483" s="11"/>
      <c r="G483" s="11"/>
      <c r="H483" s="10"/>
      <c r="I483" s="12"/>
      <c r="J483" s="13" t="str">
        <f aca="true">IF(D483="","",IF(H483="完了","✓ DONE",IF(G483="","⚠ NO DUE",IF(G483&lt;TODAY(),"🔴 OVERDUE",IF(G483=TODAY(),"🟡 TODAY","")))))</f>
        <v/>
      </c>
      <c r="K483" s="14"/>
      <c r="L483" s="15" t="str">
        <f aca="false">IF(A483="","",SUMIFS(工数ログ!$E$4:$E$1003,工数ログ!$D$4:$D$1003,$A483))</f>
        <v/>
      </c>
      <c r="M483" s="9"/>
      <c r="N483" s="9"/>
      <c r="O483" s="11"/>
      <c r="P483" s="11"/>
      <c r="Q483" s="2"/>
      <c r="R483" s="2"/>
    </row>
    <row r="484" customFormat="false" ht="15" hidden="false" customHeight="false" outlineLevel="0" collapsed="false">
      <c r="A484" s="6" t="str">
        <f aca="false">IF(D484="","",ROW()-3)</f>
        <v/>
      </c>
      <c r="B484" s="7" t="str">
        <f aca="false">IF($C484="","",IFERROR(INDEX(案件マスタ!$A$4:$A$23,MATCH($C484,案件マスタ!$B$4:$B$23,0)),"?"))</f>
        <v/>
      </c>
      <c r="C484" s="8"/>
      <c r="D484" s="9"/>
      <c r="E484" s="10"/>
      <c r="F484" s="11"/>
      <c r="G484" s="11"/>
      <c r="H484" s="10"/>
      <c r="I484" s="12"/>
      <c r="J484" s="13" t="str">
        <f aca="true">IF(D484="","",IF(H484="完了","✓ DONE",IF(G484="","⚠ NO DUE",IF(G484&lt;TODAY(),"🔴 OVERDUE",IF(G484=TODAY(),"🟡 TODAY","")))))</f>
        <v/>
      </c>
      <c r="K484" s="14"/>
      <c r="L484" s="15" t="str">
        <f aca="false">IF(A484="","",SUMIFS(工数ログ!$E$4:$E$1003,工数ログ!$D$4:$D$1003,$A484))</f>
        <v/>
      </c>
      <c r="M484" s="9"/>
      <c r="N484" s="9"/>
      <c r="O484" s="11"/>
      <c r="P484" s="11"/>
      <c r="Q484" s="2"/>
      <c r="R484" s="2"/>
    </row>
    <row r="485" customFormat="false" ht="15" hidden="false" customHeight="false" outlineLevel="0" collapsed="false">
      <c r="A485" s="6" t="str">
        <f aca="false">IF(D485="","",ROW()-3)</f>
        <v/>
      </c>
      <c r="B485" s="7" t="str">
        <f aca="false">IF($C485="","",IFERROR(INDEX(案件マスタ!$A$4:$A$23,MATCH($C485,案件マスタ!$B$4:$B$23,0)),"?"))</f>
        <v/>
      </c>
      <c r="C485" s="8"/>
      <c r="D485" s="9"/>
      <c r="E485" s="10"/>
      <c r="F485" s="11"/>
      <c r="G485" s="11"/>
      <c r="H485" s="10"/>
      <c r="I485" s="12"/>
      <c r="J485" s="13" t="str">
        <f aca="true">IF(D485="","",IF(H485="完了","✓ DONE",IF(G485="","⚠ NO DUE",IF(G485&lt;TODAY(),"🔴 OVERDUE",IF(G485=TODAY(),"🟡 TODAY","")))))</f>
        <v/>
      </c>
      <c r="K485" s="14"/>
      <c r="L485" s="15" t="str">
        <f aca="false">IF(A485="","",SUMIFS(工数ログ!$E$4:$E$1003,工数ログ!$D$4:$D$1003,$A485))</f>
        <v/>
      </c>
      <c r="M485" s="9"/>
      <c r="N485" s="9"/>
      <c r="O485" s="11"/>
      <c r="P485" s="11"/>
      <c r="Q485" s="2"/>
      <c r="R485" s="2"/>
    </row>
    <row r="486" customFormat="false" ht="15" hidden="false" customHeight="false" outlineLevel="0" collapsed="false">
      <c r="A486" s="6" t="str">
        <f aca="false">IF(D486="","",ROW()-3)</f>
        <v/>
      </c>
      <c r="B486" s="7" t="str">
        <f aca="false">IF($C486="","",IFERROR(INDEX(案件マスタ!$A$4:$A$23,MATCH($C486,案件マスタ!$B$4:$B$23,0)),"?"))</f>
        <v/>
      </c>
      <c r="C486" s="8"/>
      <c r="D486" s="9"/>
      <c r="E486" s="10"/>
      <c r="F486" s="11"/>
      <c r="G486" s="11"/>
      <c r="H486" s="10"/>
      <c r="I486" s="12"/>
      <c r="J486" s="13" t="str">
        <f aca="true">IF(D486="","",IF(H486="完了","✓ DONE",IF(G486="","⚠ NO DUE",IF(G486&lt;TODAY(),"🔴 OVERDUE",IF(G486=TODAY(),"🟡 TODAY","")))))</f>
        <v/>
      </c>
      <c r="K486" s="14"/>
      <c r="L486" s="15" t="str">
        <f aca="false">IF(A486="","",SUMIFS(工数ログ!$E$4:$E$1003,工数ログ!$D$4:$D$1003,$A486))</f>
        <v/>
      </c>
      <c r="M486" s="9"/>
      <c r="N486" s="9"/>
      <c r="O486" s="11"/>
      <c r="P486" s="11"/>
      <c r="Q486" s="2"/>
      <c r="R486" s="2"/>
    </row>
    <row r="487" customFormat="false" ht="15" hidden="false" customHeight="false" outlineLevel="0" collapsed="false">
      <c r="A487" s="6" t="str">
        <f aca="false">IF(D487="","",ROW()-3)</f>
        <v/>
      </c>
      <c r="B487" s="7" t="str">
        <f aca="false">IF($C487="","",IFERROR(INDEX(案件マスタ!$A$4:$A$23,MATCH($C487,案件マスタ!$B$4:$B$23,0)),"?"))</f>
        <v/>
      </c>
      <c r="C487" s="8"/>
      <c r="D487" s="9"/>
      <c r="E487" s="10"/>
      <c r="F487" s="11"/>
      <c r="G487" s="11"/>
      <c r="H487" s="10"/>
      <c r="I487" s="12"/>
      <c r="J487" s="13" t="str">
        <f aca="true">IF(D487="","",IF(H487="完了","✓ DONE",IF(G487="","⚠ NO DUE",IF(G487&lt;TODAY(),"🔴 OVERDUE",IF(G487=TODAY(),"🟡 TODAY","")))))</f>
        <v/>
      </c>
      <c r="K487" s="14"/>
      <c r="L487" s="15" t="str">
        <f aca="false">IF(A487="","",SUMIFS(工数ログ!$E$4:$E$1003,工数ログ!$D$4:$D$1003,$A487))</f>
        <v/>
      </c>
      <c r="M487" s="9"/>
      <c r="N487" s="9"/>
      <c r="O487" s="11"/>
      <c r="P487" s="11"/>
      <c r="Q487" s="2"/>
      <c r="R487" s="2"/>
    </row>
    <row r="488" customFormat="false" ht="15" hidden="false" customHeight="false" outlineLevel="0" collapsed="false">
      <c r="A488" s="6" t="str">
        <f aca="false">IF(D488="","",ROW()-3)</f>
        <v/>
      </c>
      <c r="B488" s="7" t="str">
        <f aca="false">IF($C488="","",IFERROR(INDEX(案件マスタ!$A$4:$A$23,MATCH($C488,案件マスタ!$B$4:$B$23,0)),"?"))</f>
        <v/>
      </c>
      <c r="C488" s="8"/>
      <c r="D488" s="9"/>
      <c r="E488" s="10"/>
      <c r="F488" s="11"/>
      <c r="G488" s="11"/>
      <c r="H488" s="10"/>
      <c r="I488" s="12"/>
      <c r="J488" s="13" t="str">
        <f aca="true">IF(D488="","",IF(H488="完了","✓ DONE",IF(G488="","⚠ NO DUE",IF(G488&lt;TODAY(),"🔴 OVERDUE",IF(G488=TODAY(),"🟡 TODAY","")))))</f>
        <v/>
      </c>
      <c r="K488" s="14"/>
      <c r="L488" s="15" t="str">
        <f aca="false">IF(A488="","",SUMIFS(工数ログ!$E$4:$E$1003,工数ログ!$D$4:$D$1003,$A488))</f>
        <v/>
      </c>
      <c r="M488" s="9"/>
      <c r="N488" s="9"/>
      <c r="O488" s="11"/>
      <c r="P488" s="11"/>
      <c r="Q488" s="2"/>
      <c r="R488" s="2"/>
    </row>
    <row r="489" customFormat="false" ht="15" hidden="false" customHeight="false" outlineLevel="0" collapsed="false">
      <c r="A489" s="6" t="str">
        <f aca="false">IF(D489="","",ROW()-3)</f>
        <v/>
      </c>
      <c r="B489" s="7" t="str">
        <f aca="false">IF($C489="","",IFERROR(INDEX(案件マスタ!$A$4:$A$23,MATCH($C489,案件マスタ!$B$4:$B$23,0)),"?"))</f>
        <v/>
      </c>
      <c r="C489" s="8"/>
      <c r="D489" s="9"/>
      <c r="E489" s="10"/>
      <c r="F489" s="11"/>
      <c r="G489" s="11"/>
      <c r="H489" s="10"/>
      <c r="I489" s="12"/>
      <c r="J489" s="13" t="str">
        <f aca="true">IF(D489="","",IF(H489="完了","✓ DONE",IF(G489="","⚠ NO DUE",IF(G489&lt;TODAY(),"🔴 OVERDUE",IF(G489=TODAY(),"🟡 TODAY","")))))</f>
        <v/>
      </c>
      <c r="K489" s="14"/>
      <c r="L489" s="15" t="str">
        <f aca="false">IF(A489="","",SUMIFS(工数ログ!$E$4:$E$1003,工数ログ!$D$4:$D$1003,$A489))</f>
        <v/>
      </c>
      <c r="M489" s="9"/>
      <c r="N489" s="9"/>
      <c r="O489" s="11"/>
      <c r="P489" s="11"/>
      <c r="Q489" s="2"/>
      <c r="R489" s="2"/>
    </row>
    <row r="490" customFormat="false" ht="15" hidden="false" customHeight="false" outlineLevel="0" collapsed="false">
      <c r="A490" s="6" t="str">
        <f aca="false">IF(D490="","",ROW()-3)</f>
        <v/>
      </c>
      <c r="B490" s="7" t="str">
        <f aca="false">IF($C490="","",IFERROR(INDEX(案件マスタ!$A$4:$A$23,MATCH($C490,案件マスタ!$B$4:$B$23,0)),"?"))</f>
        <v/>
      </c>
      <c r="C490" s="8"/>
      <c r="D490" s="9"/>
      <c r="E490" s="10"/>
      <c r="F490" s="11"/>
      <c r="G490" s="11"/>
      <c r="H490" s="10"/>
      <c r="I490" s="12"/>
      <c r="J490" s="13" t="str">
        <f aca="true">IF(D490="","",IF(H490="完了","✓ DONE",IF(G490="","⚠ NO DUE",IF(G490&lt;TODAY(),"🔴 OVERDUE",IF(G490=TODAY(),"🟡 TODAY","")))))</f>
        <v/>
      </c>
      <c r="K490" s="14"/>
      <c r="L490" s="15" t="str">
        <f aca="false">IF(A490="","",SUMIFS(工数ログ!$E$4:$E$1003,工数ログ!$D$4:$D$1003,$A490))</f>
        <v/>
      </c>
      <c r="M490" s="9"/>
      <c r="N490" s="9"/>
      <c r="O490" s="11"/>
      <c r="P490" s="11"/>
      <c r="Q490" s="2"/>
      <c r="R490" s="2"/>
    </row>
    <row r="491" customFormat="false" ht="15" hidden="false" customHeight="false" outlineLevel="0" collapsed="false">
      <c r="A491" s="6" t="str">
        <f aca="false">IF(D491="","",ROW()-3)</f>
        <v/>
      </c>
      <c r="B491" s="7" t="str">
        <f aca="false">IF($C491="","",IFERROR(INDEX(案件マスタ!$A$4:$A$23,MATCH($C491,案件マスタ!$B$4:$B$23,0)),"?"))</f>
        <v/>
      </c>
      <c r="C491" s="8"/>
      <c r="D491" s="9"/>
      <c r="E491" s="10"/>
      <c r="F491" s="11"/>
      <c r="G491" s="11"/>
      <c r="H491" s="10"/>
      <c r="I491" s="12"/>
      <c r="J491" s="13" t="str">
        <f aca="true">IF(D491="","",IF(H491="完了","✓ DONE",IF(G491="","⚠ NO DUE",IF(G491&lt;TODAY(),"🔴 OVERDUE",IF(G491=TODAY(),"🟡 TODAY","")))))</f>
        <v/>
      </c>
      <c r="K491" s="14"/>
      <c r="L491" s="15" t="str">
        <f aca="false">IF(A491="","",SUMIFS(工数ログ!$E$4:$E$1003,工数ログ!$D$4:$D$1003,$A491))</f>
        <v/>
      </c>
      <c r="M491" s="9"/>
      <c r="N491" s="9"/>
      <c r="O491" s="11"/>
      <c r="P491" s="11"/>
      <c r="Q491" s="2"/>
      <c r="R491" s="2"/>
    </row>
    <row r="492" customFormat="false" ht="15" hidden="false" customHeight="false" outlineLevel="0" collapsed="false">
      <c r="A492" s="6" t="str">
        <f aca="false">IF(D492="","",ROW()-3)</f>
        <v/>
      </c>
      <c r="B492" s="7" t="str">
        <f aca="false">IF($C492="","",IFERROR(INDEX(案件マスタ!$A$4:$A$23,MATCH($C492,案件マスタ!$B$4:$B$23,0)),"?"))</f>
        <v/>
      </c>
      <c r="C492" s="8"/>
      <c r="D492" s="9"/>
      <c r="E492" s="10"/>
      <c r="F492" s="11"/>
      <c r="G492" s="11"/>
      <c r="H492" s="10"/>
      <c r="I492" s="12"/>
      <c r="J492" s="13" t="str">
        <f aca="true">IF(D492="","",IF(H492="完了","✓ DONE",IF(G492="","⚠ NO DUE",IF(G492&lt;TODAY(),"🔴 OVERDUE",IF(G492=TODAY(),"🟡 TODAY","")))))</f>
        <v/>
      </c>
      <c r="K492" s="14"/>
      <c r="L492" s="15" t="str">
        <f aca="false">IF(A492="","",SUMIFS(工数ログ!$E$4:$E$1003,工数ログ!$D$4:$D$1003,$A492))</f>
        <v/>
      </c>
      <c r="M492" s="9"/>
      <c r="N492" s="9"/>
      <c r="O492" s="11"/>
      <c r="P492" s="11"/>
      <c r="Q492" s="2"/>
      <c r="R492" s="2"/>
    </row>
    <row r="493" customFormat="false" ht="15" hidden="false" customHeight="false" outlineLevel="0" collapsed="false">
      <c r="A493" s="6" t="str">
        <f aca="false">IF(D493="","",ROW()-3)</f>
        <v/>
      </c>
      <c r="B493" s="7" t="str">
        <f aca="false">IF($C493="","",IFERROR(INDEX(案件マスタ!$A$4:$A$23,MATCH($C493,案件マスタ!$B$4:$B$23,0)),"?"))</f>
        <v/>
      </c>
      <c r="C493" s="8"/>
      <c r="D493" s="9"/>
      <c r="E493" s="10"/>
      <c r="F493" s="11"/>
      <c r="G493" s="11"/>
      <c r="H493" s="10"/>
      <c r="I493" s="12"/>
      <c r="J493" s="13" t="str">
        <f aca="true">IF(D493="","",IF(H493="完了","✓ DONE",IF(G493="","⚠ NO DUE",IF(G493&lt;TODAY(),"🔴 OVERDUE",IF(G493=TODAY(),"🟡 TODAY","")))))</f>
        <v/>
      </c>
      <c r="K493" s="14"/>
      <c r="L493" s="15" t="str">
        <f aca="false">IF(A493="","",SUMIFS(工数ログ!$E$4:$E$1003,工数ログ!$D$4:$D$1003,$A493))</f>
        <v/>
      </c>
      <c r="M493" s="9"/>
      <c r="N493" s="9"/>
      <c r="O493" s="11"/>
      <c r="P493" s="11"/>
      <c r="Q493" s="2"/>
      <c r="R493" s="2"/>
    </row>
    <row r="494" customFormat="false" ht="15" hidden="false" customHeight="false" outlineLevel="0" collapsed="false">
      <c r="A494" s="6" t="str">
        <f aca="false">IF(D494="","",ROW()-3)</f>
        <v/>
      </c>
      <c r="B494" s="7" t="str">
        <f aca="false">IF($C494="","",IFERROR(INDEX(案件マスタ!$A$4:$A$23,MATCH($C494,案件マスタ!$B$4:$B$23,0)),"?"))</f>
        <v/>
      </c>
      <c r="C494" s="8"/>
      <c r="D494" s="9"/>
      <c r="E494" s="10"/>
      <c r="F494" s="11"/>
      <c r="G494" s="11"/>
      <c r="H494" s="10"/>
      <c r="I494" s="12"/>
      <c r="J494" s="13" t="str">
        <f aca="true">IF(D494="","",IF(H494="完了","✓ DONE",IF(G494="","⚠ NO DUE",IF(G494&lt;TODAY(),"🔴 OVERDUE",IF(G494=TODAY(),"🟡 TODAY","")))))</f>
        <v/>
      </c>
      <c r="K494" s="14"/>
      <c r="L494" s="15" t="str">
        <f aca="false">IF(A494="","",SUMIFS(工数ログ!$E$4:$E$1003,工数ログ!$D$4:$D$1003,$A494))</f>
        <v/>
      </c>
      <c r="M494" s="9"/>
      <c r="N494" s="9"/>
      <c r="O494" s="11"/>
      <c r="P494" s="11"/>
      <c r="Q494" s="2"/>
      <c r="R494" s="2"/>
    </row>
    <row r="495" customFormat="false" ht="15" hidden="false" customHeight="false" outlineLevel="0" collapsed="false">
      <c r="A495" s="6" t="str">
        <f aca="false">IF(D495="","",ROW()-3)</f>
        <v/>
      </c>
      <c r="B495" s="7" t="str">
        <f aca="false">IF($C495="","",IFERROR(INDEX(案件マスタ!$A$4:$A$23,MATCH($C495,案件マスタ!$B$4:$B$23,0)),"?"))</f>
        <v/>
      </c>
      <c r="C495" s="8"/>
      <c r="D495" s="9"/>
      <c r="E495" s="10"/>
      <c r="F495" s="11"/>
      <c r="G495" s="11"/>
      <c r="H495" s="10"/>
      <c r="I495" s="12"/>
      <c r="J495" s="13" t="str">
        <f aca="true">IF(D495="","",IF(H495="完了","✓ DONE",IF(G495="","⚠ NO DUE",IF(G495&lt;TODAY(),"🔴 OVERDUE",IF(G495=TODAY(),"🟡 TODAY","")))))</f>
        <v/>
      </c>
      <c r="K495" s="14"/>
      <c r="L495" s="15" t="str">
        <f aca="false">IF(A495="","",SUMIFS(工数ログ!$E$4:$E$1003,工数ログ!$D$4:$D$1003,$A495))</f>
        <v/>
      </c>
      <c r="M495" s="9"/>
      <c r="N495" s="9"/>
      <c r="O495" s="11"/>
      <c r="P495" s="11"/>
      <c r="Q495" s="2"/>
      <c r="R495" s="2"/>
    </row>
    <row r="496" customFormat="false" ht="15" hidden="false" customHeight="false" outlineLevel="0" collapsed="false">
      <c r="A496" s="6" t="str">
        <f aca="false">IF(D496="","",ROW()-3)</f>
        <v/>
      </c>
      <c r="B496" s="7" t="str">
        <f aca="false">IF($C496="","",IFERROR(INDEX(案件マスタ!$A$4:$A$23,MATCH($C496,案件マスタ!$B$4:$B$23,0)),"?"))</f>
        <v/>
      </c>
      <c r="C496" s="8"/>
      <c r="D496" s="9"/>
      <c r="E496" s="10"/>
      <c r="F496" s="11"/>
      <c r="G496" s="11"/>
      <c r="H496" s="10"/>
      <c r="I496" s="12"/>
      <c r="J496" s="13" t="str">
        <f aca="true">IF(D496="","",IF(H496="完了","✓ DONE",IF(G496="","⚠ NO DUE",IF(G496&lt;TODAY(),"🔴 OVERDUE",IF(G496=TODAY(),"🟡 TODAY","")))))</f>
        <v/>
      </c>
      <c r="K496" s="14"/>
      <c r="L496" s="15" t="str">
        <f aca="false">IF(A496="","",SUMIFS(工数ログ!$E$4:$E$1003,工数ログ!$D$4:$D$1003,$A496))</f>
        <v/>
      </c>
      <c r="M496" s="9"/>
      <c r="N496" s="9"/>
      <c r="O496" s="11"/>
      <c r="P496" s="11"/>
      <c r="Q496" s="2"/>
      <c r="R496" s="2"/>
    </row>
    <row r="497" customFormat="false" ht="15" hidden="false" customHeight="false" outlineLevel="0" collapsed="false">
      <c r="A497" s="6" t="str">
        <f aca="false">IF(D497="","",ROW()-3)</f>
        <v/>
      </c>
      <c r="B497" s="7" t="str">
        <f aca="false">IF($C497="","",IFERROR(INDEX(案件マスタ!$A$4:$A$23,MATCH($C497,案件マスタ!$B$4:$B$23,0)),"?"))</f>
        <v/>
      </c>
      <c r="C497" s="8"/>
      <c r="D497" s="9"/>
      <c r="E497" s="10"/>
      <c r="F497" s="11"/>
      <c r="G497" s="11"/>
      <c r="H497" s="10"/>
      <c r="I497" s="12"/>
      <c r="J497" s="13" t="str">
        <f aca="true">IF(D497="","",IF(H497="完了","✓ DONE",IF(G497="","⚠ NO DUE",IF(G497&lt;TODAY(),"🔴 OVERDUE",IF(G497=TODAY(),"🟡 TODAY","")))))</f>
        <v/>
      </c>
      <c r="K497" s="14"/>
      <c r="L497" s="15" t="str">
        <f aca="false">IF(A497="","",SUMIFS(工数ログ!$E$4:$E$1003,工数ログ!$D$4:$D$1003,$A497))</f>
        <v/>
      </c>
      <c r="M497" s="9"/>
      <c r="N497" s="9"/>
      <c r="O497" s="11"/>
      <c r="P497" s="11"/>
      <c r="Q497" s="2"/>
      <c r="R497" s="2"/>
    </row>
    <row r="498" customFormat="false" ht="15" hidden="false" customHeight="false" outlineLevel="0" collapsed="false">
      <c r="A498" s="6" t="str">
        <f aca="false">IF(D498="","",ROW()-3)</f>
        <v/>
      </c>
      <c r="B498" s="7" t="str">
        <f aca="false">IF($C498="","",IFERROR(INDEX(案件マスタ!$A$4:$A$23,MATCH($C498,案件マスタ!$B$4:$B$23,0)),"?"))</f>
        <v/>
      </c>
      <c r="C498" s="8"/>
      <c r="D498" s="9"/>
      <c r="E498" s="10"/>
      <c r="F498" s="11"/>
      <c r="G498" s="11"/>
      <c r="H498" s="10"/>
      <c r="I498" s="12"/>
      <c r="J498" s="13" t="str">
        <f aca="true">IF(D498="","",IF(H498="完了","✓ DONE",IF(G498="","⚠ NO DUE",IF(G498&lt;TODAY(),"🔴 OVERDUE",IF(G498=TODAY(),"🟡 TODAY","")))))</f>
        <v/>
      </c>
      <c r="K498" s="14"/>
      <c r="L498" s="15" t="str">
        <f aca="false">IF(A498="","",SUMIFS(工数ログ!$E$4:$E$1003,工数ログ!$D$4:$D$1003,$A498))</f>
        <v/>
      </c>
      <c r="M498" s="9"/>
      <c r="N498" s="9"/>
      <c r="O498" s="11"/>
      <c r="P498" s="11"/>
      <c r="Q498" s="2"/>
      <c r="R498" s="2"/>
    </row>
    <row r="499" customFormat="false" ht="15" hidden="false" customHeight="false" outlineLevel="0" collapsed="false">
      <c r="A499" s="6" t="str">
        <f aca="false">IF(D499="","",ROW()-3)</f>
        <v/>
      </c>
      <c r="B499" s="7" t="str">
        <f aca="false">IF($C499="","",IFERROR(INDEX(案件マスタ!$A$4:$A$23,MATCH($C499,案件マスタ!$B$4:$B$23,0)),"?"))</f>
        <v/>
      </c>
      <c r="C499" s="8"/>
      <c r="D499" s="9"/>
      <c r="E499" s="10"/>
      <c r="F499" s="11"/>
      <c r="G499" s="11"/>
      <c r="H499" s="10"/>
      <c r="I499" s="12"/>
      <c r="J499" s="13" t="str">
        <f aca="true">IF(D499="","",IF(H499="完了","✓ DONE",IF(G499="","⚠ NO DUE",IF(G499&lt;TODAY(),"🔴 OVERDUE",IF(G499=TODAY(),"🟡 TODAY","")))))</f>
        <v/>
      </c>
      <c r="K499" s="14"/>
      <c r="L499" s="15" t="str">
        <f aca="false">IF(A499="","",SUMIFS(工数ログ!$E$4:$E$1003,工数ログ!$D$4:$D$1003,$A499))</f>
        <v/>
      </c>
      <c r="M499" s="9"/>
      <c r="N499" s="9"/>
      <c r="O499" s="11"/>
      <c r="P499" s="11"/>
      <c r="Q499" s="2"/>
      <c r="R499" s="2"/>
    </row>
    <row r="500" customFormat="false" ht="15" hidden="false" customHeight="false" outlineLevel="0" collapsed="false">
      <c r="A500" s="6" t="str">
        <f aca="false">IF(D500="","",ROW()-3)</f>
        <v/>
      </c>
      <c r="B500" s="7" t="str">
        <f aca="false">IF($C500="","",IFERROR(INDEX(案件マスタ!$A$4:$A$23,MATCH($C500,案件マスタ!$B$4:$B$23,0)),"?"))</f>
        <v/>
      </c>
      <c r="C500" s="8"/>
      <c r="D500" s="9"/>
      <c r="E500" s="10"/>
      <c r="F500" s="11"/>
      <c r="G500" s="11"/>
      <c r="H500" s="10"/>
      <c r="I500" s="12"/>
      <c r="J500" s="13" t="str">
        <f aca="true">IF(D500="","",IF(H500="完了","✓ DONE",IF(G500="","⚠ NO DUE",IF(G500&lt;TODAY(),"🔴 OVERDUE",IF(G500=TODAY(),"🟡 TODAY","")))))</f>
        <v/>
      </c>
      <c r="K500" s="14"/>
      <c r="L500" s="15" t="str">
        <f aca="false">IF(A500="","",SUMIFS(工数ログ!$E$4:$E$1003,工数ログ!$D$4:$D$1003,$A500))</f>
        <v/>
      </c>
      <c r="M500" s="9"/>
      <c r="N500" s="9"/>
      <c r="O500" s="11"/>
      <c r="P500" s="11"/>
      <c r="Q500" s="2"/>
      <c r="R500" s="2"/>
    </row>
    <row r="501" customFormat="false" ht="15" hidden="false" customHeight="false" outlineLevel="0" collapsed="false">
      <c r="A501" s="6" t="str">
        <f aca="false">IF(D501="","",ROW()-3)</f>
        <v/>
      </c>
      <c r="B501" s="7" t="str">
        <f aca="false">IF($C501="","",IFERROR(INDEX(案件マスタ!$A$4:$A$23,MATCH($C501,案件マスタ!$B$4:$B$23,0)),"?"))</f>
        <v/>
      </c>
      <c r="C501" s="8"/>
      <c r="D501" s="9"/>
      <c r="E501" s="10"/>
      <c r="F501" s="11"/>
      <c r="G501" s="11"/>
      <c r="H501" s="10"/>
      <c r="I501" s="12"/>
      <c r="J501" s="13" t="str">
        <f aca="true">IF(D501="","",IF(H501="完了","✓ DONE",IF(G501="","⚠ NO DUE",IF(G501&lt;TODAY(),"🔴 OVERDUE",IF(G501=TODAY(),"🟡 TODAY","")))))</f>
        <v/>
      </c>
      <c r="K501" s="14"/>
      <c r="L501" s="15" t="str">
        <f aca="false">IF(A501="","",SUMIFS(工数ログ!$E$4:$E$1003,工数ログ!$D$4:$D$1003,$A501))</f>
        <v/>
      </c>
      <c r="M501" s="9"/>
      <c r="N501" s="9"/>
      <c r="O501" s="11"/>
      <c r="P501" s="11"/>
      <c r="Q501" s="2"/>
      <c r="R501" s="2"/>
    </row>
    <row r="502" customFormat="false" ht="15" hidden="false" customHeight="false" outlineLevel="0" collapsed="false">
      <c r="A502" s="6" t="str">
        <f aca="false">IF(D502="","",ROW()-3)</f>
        <v/>
      </c>
      <c r="B502" s="7" t="str">
        <f aca="false">IF($C502="","",IFERROR(INDEX(案件マスタ!$A$4:$A$23,MATCH($C502,案件マスタ!$B$4:$B$23,0)),"?"))</f>
        <v/>
      </c>
      <c r="C502" s="8"/>
      <c r="D502" s="9"/>
      <c r="E502" s="10"/>
      <c r="F502" s="11"/>
      <c r="G502" s="11"/>
      <c r="H502" s="10"/>
      <c r="I502" s="12"/>
      <c r="J502" s="13" t="str">
        <f aca="true">IF(D502="","",IF(H502="完了","✓ DONE",IF(G502="","⚠ NO DUE",IF(G502&lt;TODAY(),"🔴 OVERDUE",IF(G502=TODAY(),"🟡 TODAY","")))))</f>
        <v/>
      </c>
      <c r="K502" s="14"/>
      <c r="L502" s="15" t="str">
        <f aca="false">IF(A502="","",SUMIFS(工数ログ!$E$4:$E$1003,工数ログ!$D$4:$D$1003,$A502))</f>
        <v/>
      </c>
      <c r="M502" s="9"/>
      <c r="N502" s="9"/>
      <c r="O502" s="11"/>
      <c r="P502" s="11"/>
      <c r="Q502" s="2"/>
      <c r="R502" s="2"/>
    </row>
    <row r="503" customFormat="false" ht="15" hidden="false" customHeight="false" outlineLevel="0" collapsed="false">
      <c r="A503" s="6" t="str">
        <f aca="false">IF(D503="","",ROW()-3)</f>
        <v/>
      </c>
      <c r="B503" s="7" t="str">
        <f aca="false">IF($C503="","",IFERROR(INDEX(案件マスタ!$A$4:$A$23,MATCH($C503,案件マスタ!$B$4:$B$23,0)),"?"))</f>
        <v/>
      </c>
      <c r="C503" s="8"/>
      <c r="D503" s="9"/>
      <c r="E503" s="10"/>
      <c r="F503" s="11"/>
      <c r="G503" s="11"/>
      <c r="H503" s="10"/>
      <c r="I503" s="12"/>
      <c r="J503" s="13" t="str">
        <f aca="true">IF(D503="","",IF(H503="完了","✓ DONE",IF(G503="","⚠ NO DUE",IF(G503&lt;TODAY(),"🔴 OVERDUE",IF(G503=TODAY(),"🟡 TODAY","")))))</f>
        <v/>
      </c>
      <c r="K503" s="14"/>
      <c r="L503" s="15" t="str">
        <f aca="false">IF(A503="","",SUMIFS(工数ログ!$E$4:$E$1003,工数ログ!$D$4:$D$1003,$A503))</f>
        <v/>
      </c>
      <c r="M503" s="9"/>
      <c r="N503" s="9"/>
      <c r="O503" s="11"/>
      <c r="P503" s="11"/>
      <c r="Q503" s="2"/>
      <c r="R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</sheetData>
  <autoFilter ref="A3:P503"/>
  <conditionalFormatting sqref="A4:P503">
    <cfRule type="expression" priority="2" aboveAverage="0" equalAverage="0" bottom="0" percent="0" rank="0" text="" dxfId="12">
      <formula>$H4="完了"</formula>
    </cfRule>
    <cfRule type="expression" priority="3" aboveAverage="0" equalAverage="0" bottom="0" percent="0" rank="0" text="" dxfId="13">
      <formula>AND($D4&lt;&gt;"",$H4&lt;&gt;"完了",$G4&lt;&gt;"",$G4&lt;TODAY())</formula>
    </cfRule>
    <cfRule type="expression" priority="4" aboveAverage="0" equalAverage="0" bottom="0" percent="0" rank="0" text="" dxfId="14">
      <formula>AND($D4&lt;&gt;"",$H4&lt;&gt;"完了",$G4=TODAY())</formula>
    </cfRule>
    <cfRule type="expression" priority="5" aboveAverage="0" equalAverage="0" bottom="0" percent="0" rank="0" text="" dxfId="15">
      <formula>$H4="レビュー待ち"</formula>
    </cfRule>
  </conditionalFormatting>
  <dataValidations count="4">
    <dataValidation allowBlank="true" errorStyle="stop" operator="between" showDropDown="false" showErrorMessage="false" showInputMessage="false" sqref="C4:C503" type="list">
      <formula1>案件リスト</formula1>
      <formula2>0</formula2>
    </dataValidation>
    <dataValidation allowBlank="true" errorStyle="stop" operator="between" showDropDown="false" showErrorMessage="false" showInputMessage="false" sqref="E4:E503" type="list">
      <formula1>メンバーリスト</formula1>
      <formula2>0</formula2>
    </dataValidation>
    <dataValidation allowBlank="true" error="プルダウンから選択" errorStyle="stop" errorTitle="入力エラー" operator="between" showDropDown="false" showErrorMessage="true" showInputMessage="false" sqref="H4:H503" type="list">
      <formula1>状態リスト</formula1>
      <formula2>0</formula2>
    </dataValidation>
    <dataValidation allowBlank="true" error="進捗は0〜100%で入力(例: 50%)" errorStyle="stop" errorTitle="入力エラー" operator="between" showDropDown="false" showErrorMessage="true" showInputMessage="false" sqref="I4:I503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DD0E1"/>
    <pageSetUpPr fitToPage="false"/>
  </sheetPr>
  <dimension ref="A1:CD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5" topLeftCell="I6" activePane="bottomRight" state="frozen"/>
      <selection pane="topLeft" activeCell="A1" activeCellId="0" sqref="A1"/>
      <selection pane="topRight" activeCell="I1" activeCellId="0" sqref="I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78" min="9" style="0" width="3"/>
  </cols>
  <sheetData>
    <row r="1" customFormat="false" ht="17.35" hidden="false" customHeight="false" outlineLevel="0" collapsed="false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customFormat="false" ht="15" hidden="false" customHeight="false" outlineLevel="0" collapsed="false">
      <c r="A2" s="3" t="s">
        <v>38</v>
      </c>
      <c r="B2" s="2"/>
      <c r="C2" s="16" t="n">
        <v>46266</v>
      </c>
      <c r="D2" s="2"/>
      <c r="E2" s="17" t="s">
        <v>39</v>
      </c>
      <c r="F2" s="18" t="s">
        <v>40</v>
      </c>
      <c r="G2" s="19" t="s">
        <v>41</v>
      </c>
      <c r="H2" s="20" t="s">
        <v>42</v>
      </c>
      <c r="I2" s="21" t="s">
        <v>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</row>
    <row r="3" customFormat="false" ht="15" hidden="false" customHeight="false" outlineLevel="0" collapsed="false">
      <c r="A3" s="2"/>
      <c r="B3" s="2"/>
      <c r="C3" s="2"/>
      <c r="D3" s="2"/>
      <c r="E3" s="22" t="s">
        <v>43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3" t="str">
        <f aca="false">TEXT(I$5,"m月")</f>
        <v>9月</v>
      </c>
      <c r="J4" s="23" t="str">
        <f aca="false">IF(DAY(J$5)=1,TEXT(J$5,"m月"),"")</f>
        <v/>
      </c>
      <c r="K4" s="23" t="str">
        <f aca="false">IF(DAY(K$5)=1,TEXT(K$5,"m月"),"")</f>
        <v/>
      </c>
      <c r="L4" s="23" t="str">
        <f aca="false">IF(DAY(L$5)=1,TEXT(L$5,"m月"),"")</f>
        <v/>
      </c>
      <c r="M4" s="23" t="str">
        <f aca="false">IF(DAY(M$5)=1,TEXT(M$5,"m月"),"")</f>
        <v/>
      </c>
      <c r="N4" s="23" t="str">
        <f aca="false">IF(DAY(N$5)=1,TEXT(N$5,"m月"),"")</f>
        <v/>
      </c>
      <c r="O4" s="23" t="str">
        <f aca="false">IF(DAY(O$5)=1,TEXT(O$5,"m月"),"")</f>
        <v/>
      </c>
      <c r="P4" s="23" t="str">
        <f aca="false">IF(DAY(P$5)=1,TEXT(P$5,"m月"),"")</f>
        <v/>
      </c>
      <c r="Q4" s="23" t="str">
        <f aca="false">IF(DAY(Q$5)=1,TEXT(Q$5,"m月"),"")</f>
        <v/>
      </c>
      <c r="R4" s="23" t="str">
        <f aca="false">IF(DAY(R$5)=1,TEXT(R$5,"m月"),"")</f>
        <v/>
      </c>
      <c r="S4" s="23" t="str">
        <f aca="false">IF(DAY(S$5)=1,TEXT(S$5,"m月"),"")</f>
        <v/>
      </c>
      <c r="T4" s="23" t="str">
        <f aca="false">IF(DAY(T$5)=1,TEXT(T$5,"m月"),"")</f>
        <v/>
      </c>
      <c r="U4" s="23" t="str">
        <f aca="false">IF(DAY(U$5)=1,TEXT(U$5,"m月"),"")</f>
        <v/>
      </c>
      <c r="V4" s="23" t="str">
        <f aca="false">IF(DAY(V$5)=1,TEXT(V$5,"m月"),"")</f>
        <v/>
      </c>
      <c r="W4" s="23" t="str">
        <f aca="false">IF(DAY(W$5)=1,TEXT(W$5,"m月"),"")</f>
        <v/>
      </c>
      <c r="X4" s="23" t="str">
        <f aca="false">IF(DAY(X$5)=1,TEXT(X$5,"m月"),"")</f>
        <v/>
      </c>
      <c r="Y4" s="23" t="str">
        <f aca="false">IF(DAY(Y$5)=1,TEXT(Y$5,"m月"),"")</f>
        <v/>
      </c>
      <c r="Z4" s="23" t="str">
        <f aca="false">IF(DAY(Z$5)=1,TEXT(Z$5,"m月"),"")</f>
        <v/>
      </c>
      <c r="AA4" s="23" t="str">
        <f aca="false">IF(DAY(AA$5)=1,TEXT(AA$5,"m月"),"")</f>
        <v/>
      </c>
      <c r="AB4" s="23" t="str">
        <f aca="false">IF(DAY(AB$5)=1,TEXT(AB$5,"m月"),"")</f>
        <v/>
      </c>
      <c r="AC4" s="23" t="str">
        <f aca="false">IF(DAY(AC$5)=1,TEXT(AC$5,"m月"),"")</f>
        <v/>
      </c>
      <c r="AD4" s="23" t="str">
        <f aca="false">IF(DAY(AD$5)=1,TEXT(AD$5,"m月"),"")</f>
        <v/>
      </c>
      <c r="AE4" s="23" t="str">
        <f aca="false">IF(DAY(AE$5)=1,TEXT(AE$5,"m月"),"")</f>
        <v/>
      </c>
      <c r="AF4" s="23" t="str">
        <f aca="false">IF(DAY(AF$5)=1,TEXT(AF$5,"m月"),"")</f>
        <v/>
      </c>
      <c r="AG4" s="23" t="str">
        <f aca="false">IF(DAY(AG$5)=1,TEXT(AG$5,"m月"),"")</f>
        <v/>
      </c>
      <c r="AH4" s="23" t="str">
        <f aca="false">IF(DAY(AH$5)=1,TEXT(AH$5,"m月"),"")</f>
        <v/>
      </c>
      <c r="AI4" s="23" t="str">
        <f aca="false">IF(DAY(AI$5)=1,TEXT(AI$5,"m月"),"")</f>
        <v/>
      </c>
      <c r="AJ4" s="23" t="str">
        <f aca="false">IF(DAY(AJ$5)=1,TEXT(AJ$5,"m月"),"")</f>
        <v/>
      </c>
      <c r="AK4" s="23" t="str">
        <f aca="false">IF(DAY(AK$5)=1,TEXT(AK$5,"m月"),"")</f>
        <v/>
      </c>
      <c r="AL4" s="23" t="str">
        <f aca="false">IF(DAY(AL$5)=1,TEXT(AL$5,"m月"),"")</f>
        <v/>
      </c>
      <c r="AM4" s="23" t="str">
        <f aca="false">IF(DAY(AM$5)=1,TEXT(AM$5,"m月"),"")</f>
        <v>10月</v>
      </c>
      <c r="AN4" s="23" t="str">
        <f aca="false">IF(DAY(AN$5)=1,TEXT(AN$5,"m月"),"")</f>
        <v/>
      </c>
      <c r="AO4" s="23" t="str">
        <f aca="false">IF(DAY(AO$5)=1,TEXT(AO$5,"m月"),"")</f>
        <v/>
      </c>
      <c r="AP4" s="23" t="str">
        <f aca="false">IF(DAY(AP$5)=1,TEXT(AP$5,"m月"),"")</f>
        <v/>
      </c>
      <c r="AQ4" s="23" t="str">
        <f aca="false">IF(DAY(AQ$5)=1,TEXT(AQ$5,"m月"),"")</f>
        <v/>
      </c>
      <c r="AR4" s="23" t="str">
        <f aca="false">IF(DAY(AR$5)=1,TEXT(AR$5,"m月"),"")</f>
        <v/>
      </c>
      <c r="AS4" s="23" t="str">
        <f aca="false">IF(DAY(AS$5)=1,TEXT(AS$5,"m月"),"")</f>
        <v/>
      </c>
      <c r="AT4" s="23" t="str">
        <f aca="false">IF(DAY(AT$5)=1,TEXT(AT$5,"m月"),"")</f>
        <v/>
      </c>
      <c r="AU4" s="23" t="str">
        <f aca="false">IF(DAY(AU$5)=1,TEXT(AU$5,"m月"),"")</f>
        <v/>
      </c>
      <c r="AV4" s="23" t="str">
        <f aca="false">IF(DAY(AV$5)=1,TEXT(AV$5,"m月"),"")</f>
        <v/>
      </c>
      <c r="AW4" s="23" t="str">
        <f aca="false">IF(DAY(AW$5)=1,TEXT(AW$5,"m月"),"")</f>
        <v/>
      </c>
      <c r="AX4" s="23" t="str">
        <f aca="false">IF(DAY(AX$5)=1,TEXT(AX$5,"m月"),"")</f>
        <v/>
      </c>
      <c r="AY4" s="23" t="str">
        <f aca="false">IF(DAY(AY$5)=1,TEXT(AY$5,"m月"),"")</f>
        <v/>
      </c>
      <c r="AZ4" s="23" t="str">
        <f aca="false">IF(DAY(AZ$5)=1,TEXT(AZ$5,"m月"),"")</f>
        <v/>
      </c>
      <c r="BA4" s="23" t="str">
        <f aca="false">IF(DAY(BA$5)=1,TEXT(BA$5,"m月"),"")</f>
        <v/>
      </c>
      <c r="BB4" s="23" t="str">
        <f aca="false">IF(DAY(BB$5)=1,TEXT(BB$5,"m月"),"")</f>
        <v/>
      </c>
      <c r="BC4" s="23" t="str">
        <f aca="false">IF(DAY(BC$5)=1,TEXT(BC$5,"m月"),"")</f>
        <v/>
      </c>
      <c r="BD4" s="23" t="str">
        <f aca="false">IF(DAY(BD$5)=1,TEXT(BD$5,"m月"),"")</f>
        <v/>
      </c>
      <c r="BE4" s="23" t="str">
        <f aca="false">IF(DAY(BE$5)=1,TEXT(BE$5,"m月"),"")</f>
        <v/>
      </c>
      <c r="BF4" s="23" t="str">
        <f aca="false">IF(DAY(BF$5)=1,TEXT(BF$5,"m月"),"")</f>
        <v/>
      </c>
      <c r="BG4" s="23" t="str">
        <f aca="false">IF(DAY(BG$5)=1,TEXT(BG$5,"m月"),"")</f>
        <v/>
      </c>
      <c r="BH4" s="23" t="str">
        <f aca="false">IF(DAY(BH$5)=1,TEXT(BH$5,"m月"),"")</f>
        <v/>
      </c>
      <c r="BI4" s="23" t="str">
        <f aca="false">IF(DAY(BI$5)=1,TEXT(BI$5,"m月"),"")</f>
        <v/>
      </c>
      <c r="BJ4" s="23" t="str">
        <f aca="false">IF(DAY(BJ$5)=1,TEXT(BJ$5,"m月"),"")</f>
        <v/>
      </c>
      <c r="BK4" s="23" t="str">
        <f aca="false">IF(DAY(BK$5)=1,TEXT(BK$5,"m月"),"")</f>
        <v/>
      </c>
      <c r="BL4" s="23" t="str">
        <f aca="false">IF(DAY(BL$5)=1,TEXT(BL$5,"m月"),"")</f>
        <v/>
      </c>
      <c r="BM4" s="23" t="str">
        <f aca="false">IF(DAY(BM$5)=1,TEXT(BM$5,"m月"),"")</f>
        <v/>
      </c>
      <c r="BN4" s="23" t="str">
        <f aca="false">IF(DAY(BN$5)=1,TEXT(BN$5,"m月"),"")</f>
        <v/>
      </c>
      <c r="BO4" s="23" t="str">
        <f aca="false">IF(DAY(BO$5)=1,TEXT(BO$5,"m月"),"")</f>
        <v/>
      </c>
      <c r="BP4" s="23" t="str">
        <f aca="false">IF(DAY(BP$5)=1,TEXT(BP$5,"m月"),"")</f>
        <v/>
      </c>
      <c r="BQ4" s="23" t="str">
        <f aca="false">IF(DAY(BQ$5)=1,TEXT(BQ$5,"m月"),"")</f>
        <v/>
      </c>
      <c r="BR4" s="23" t="str">
        <f aca="false">IF(DAY(BR$5)=1,TEXT(BR$5,"m月"),"")</f>
        <v>11月</v>
      </c>
      <c r="BS4" s="23" t="str">
        <f aca="false">IF(DAY(BS$5)=1,TEXT(BS$5,"m月"),"")</f>
        <v/>
      </c>
      <c r="BT4" s="23" t="str">
        <f aca="false">IF(DAY(BT$5)=1,TEXT(BT$5,"m月"),"")</f>
        <v/>
      </c>
      <c r="BU4" s="23" t="str">
        <f aca="false">IF(DAY(BU$5)=1,TEXT(BU$5,"m月"),"")</f>
        <v/>
      </c>
      <c r="BV4" s="23" t="str">
        <f aca="false">IF(DAY(BV$5)=1,TEXT(BV$5,"m月"),"")</f>
        <v/>
      </c>
      <c r="BW4" s="23" t="str">
        <f aca="false">IF(DAY(BW$5)=1,TEXT(BW$5,"m月"),"")</f>
        <v/>
      </c>
      <c r="BX4" s="23" t="str">
        <f aca="false">IF(DAY(BX$5)=1,TEXT(BX$5,"m月"),"")</f>
        <v/>
      </c>
      <c r="BY4" s="23" t="str">
        <f aca="false">IF(DAY(BY$5)=1,TEXT(BY$5,"m月"),"")</f>
        <v/>
      </c>
      <c r="BZ4" s="23" t="str">
        <f aca="false">IF(DAY(BZ$5)=1,TEXT(BZ$5,"m月"),"")</f>
        <v/>
      </c>
      <c r="CA4" s="2"/>
      <c r="CB4" s="2"/>
      <c r="CC4" s="2"/>
      <c r="CD4" s="2"/>
    </row>
    <row r="5" customFormat="false" ht="15" hidden="false" customHeight="false" outlineLevel="0" collapsed="false">
      <c r="A5" s="4" t="s">
        <v>2</v>
      </c>
      <c r="B5" s="5" t="s">
        <v>4</v>
      </c>
      <c r="C5" s="5" t="s">
        <v>5</v>
      </c>
      <c r="D5" s="5" t="s">
        <v>6</v>
      </c>
      <c r="E5" s="5" t="s">
        <v>44</v>
      </c>
      <c r="F5" s="5" t="s">
        <v>8</v>
      </c>
      <c r="G5" s="5" t="s">
        <v>45</v>
      </c>
      <c r="H5" s="5" t="s">
        <v>9</v>
      </c>
      <c r="I5" s="24" t="n">
        <f aca="false">$C$2</f>
        <v>46266</v>
      </c>
      <c r="J5" s="24" t="n">
        <f aca="false">I5+1</f>
        <v>46267</v>
      </c>
      <c r="K5" s="24" t="n">
        <f aca="false">J5+1</f>
        <v>46268</v>
      </c>
      <c r="L5" s="24" t="n">
        <f aca="false">K5+1</f>
        <v>46269</v>
      </c>
      <c r="M5" s="24" t="n">
        <f aca="false">L5+1</f>
        <v>46270</v>
      </c>
      <c r="N5" s="24" t="n">
        <f aca="false">M5+1</f>
        <v>46271</v>
      </c>
      <c r="O5" s="24" t="n">
        <f aca="false">N5+1</f>
        <v>46272</v>
      </c>
      <c r="P5" s="24" t="n">
        <f aca="false">O5+1</f>
        <v>46273</v>
      </c>
      <c r="Q5" s="24" t="n">
        <f aca="false">P5+1</f>
        <v>46274</v>
      </c>
      <c r="R5" s="24" t="n">
        <f aca="false">Q5+1</f>
        <v>46275</v>
      </c>
      <c r="S5" s="24" t="n">
        <f aca="false">R5+1</f>
        <v>46276</v>
      </c>
      <c r="T5" s="24" t="n">
        <f aca="false">S5+1</f>
        <v>46277</v>
      </c>
      <c r="U5" s="24" t="n">
        <f aca="false">T5+1</f>
        <v>46278</v>
      </c>
      <c r="V5" s="24" t="n">
        <f aca="false">U5+1</f>
        <v>46279</v>
      </c>
      <c r="W5" s="24" t="n">
        <f aca="false">V5+1</f>
        <v>46280</v>
      </c>
      <c r="X5" s="24" t="n">
        <f aca="false">W5+1</f>
        <v>46281</v>
      </c>
      <c r="Y5" s="24" t="n">
        <f aca="false">X5+1</f>
        <v>46282</v>
      </c>
      <c r="Z5" s="24" t="n">
        <f aca="false">Y5+1</f>
        <v>46283</v>
      </c>
      <c r="AA5" s="24" t="n">
        <f aca="false">Z5+1</f>
        <v>46284</v>
      </c>
      <c r="AB5" s="24" t="n">
        <f aca="false">AA5+1</f>
        <v>46285</v>
      </c>
      <c r="AC5" s="24" t="n">
        <f aca="false">AB5+1</f>
        <v>46286</v>
      </c>
      <c r="AD5" s="24" t="n">
        <f aca="false">AC5+1</f>
        <v>46287</v>
      </c>
      <c r="AE5" s="24" t="n">
        <f aca="false">AD5+1</f>
        <v>46288</v>
      </c>
      <c r="AF5" s="24" t="n">
        <f aca="false">AE5+1</f>
        <v>46289</v>
      </c>
      <c r="AG5" s="24" t="n">
        <f aca="false">AF5+1</f>
        <v>46290</v>
      </c>
      <c r="AH5" s="24" t="n">
        <f aca="false">AG5+1</f>
        <v>46291</v>
      </c>
      <c r="AI5" s="24" t="n">
        <f aca="false">AH5+1</f>
        <v>46292</v>
      </c>
      <c r="AJ5" s="24" t="n">
        <f aca="false">AI5+1</f>
        <v>46293</v>
      </c>
      <c r="AK5" s="24" t="n">
        <f aca="false">AJ5+1</f>
        <v>46294</v>
      </c>
      <c r="AL5" s="24" t="n">
        <f aca="false">AK5+1</f>
        <v>46295</v>
      </c>
      <c r="AM5" s="24" t="n">
        <f aca="false">AL5+1</f>
        <v>46296</v>
      </c>
      <c r="AN5" s="24" t="n">
        <f aca="false">AM5+1</f>
        <v>46297</v>
      </c>
      <c r="AO5" s="24" t="n">
        <f aca="false">AN5+1</f>
        <v>46298</v>
      </c>
      <c r="AP5" s="24" t="n">
        <f aca="false">AO5+1</f>
        <v>46299</v>
      </c>
      <c r="AQ5" s="24" t="n">
        <f aca="false">AP5+1</f>
        <v>46300</v>
      </c>
      <c r="AR5" s="24" t="n">
        <f aca="false">AQ5+1</f>
        <v>46301</v>
      </c>
      <c r="AS5" s="24" t="n">
        <f aca="false">AR5+1</f>
        <v>46302</v>
      </c>
      <c r="AT5" s="24" t="n">
        <f aca="false">AS5+1</f>
        <v>46303</v>
      </c>
      <c r="AU5" s="24" t="n">
        <f aca="false">AT5+1</f>
        <v>46304</v>
      </c>
      <c r="AV5" s="24" t="n">
        <f aca="false">AU5+1</f>
        <v>46305</v>
      </c>
      <c r="AW5" s="24" t="n">
        <f aca="false">AV5+1</f>
        <v>46306</v>
      </c>
      <c r="AX5" s="24" t="n">
        <f aca="false">AW5+1</f>
        <v>46307</v>
      </c>
      <c r="AY5" s="24" t="n">
        <f aca="false">AX5+1</f>
        <v>46308</v>
      </c>
      <c r="AZ5" s="24" t="n">
        <f aca="false">AY5+1</f>
        <v>46309</v>
      </c>
      <c r="BA5" s="24" t="n">
        <f aca="false">AZ5+1</f>
        <v>46310</v>
      </c>
      <c r="BB5" s="24" t="n">
        <f aca="false">BA5+1</f>
        <v>46311</v>
      </c>
      <c r="BC5" s="24" t="n">
        <f aca="false">BB5+1</f>
        <v>46312</v>
      </c>
      <c r="BD5" s="24" t="n">
        <f aca="false">BC5+1</f>
        <v>46313</v>
      </c>
      <c r="BE5" s="24" t="n">
        <f aca="false">BD5+1</f>
        <v>46314</v>
      </c>
      <c r="BF5" s="24" t="n">
        <f aca="false">BE5+1</f>
        <v>46315</v>
      </c>
      <c r="BG5" s="24" t="n">
        <f aca="false">BF5+1</f>
        <v>46316</v>
      </c>
      <c r="BH5" s="24" t="n">
        <f aca="false">BG5+1</f>
        <v>46317</v>
      </c>
      <c r="BI5" s="24" t="n">
        <f aca="false">BH5+1</f>
        <v>46318</v>
      </c>
      <c r="BJ5" s="24" t="n">
        <f aca="false">BI5+1</f>
        <v>46319</v>
      </c>
      <c r="BK5" s="24" t="n">
        <f aca="false">BJ5+1</f>
        <v>46320</v>
      </c>
      <c r="BL5" s="24" t="n">
        <f aca="false">BK5+1</f>
        <v>46321</v>
      </c>
      <c r="BM5" s="24" t="n">
        <f aca="false">BL5+1</f>
        <v>46322</v>
      </c>
      <c r="BN5" s="24" t="n">
        <f aca="false">BM5+1</f>
        <v>46323</v>
      </c>
      <c r="BO5" s="24" t="n">
        <f aca="false">BN5+1</f>
        <v>46324</v>
      </c>
      <c r="BP5" s="24" t="n">
        <f aca="false">BO5+1</f>
        <v>46325</v>
      </c>
      <c r="BQ5" s="24" t="n">
        <f aca="false">BP5+1</f>
        <v>46326</v>
      </c>
      <c r="BR5" s="24" t="n">
        <f aca="false">BQ5+1</f>
        <v>46327</v>
      </c>
      <c r="BS5" s="24" t="n">
        <f aca="false">BR5+1</f>
        <v>46328</v>
      </c>
      <c r="BT5" s="24" t="n">
        <f aca="false">BS5+1</f>
        <v>46329</v>
      </c>
      <c r="BU5" s="24" t="n">
        <f aca="false">BT5+1</f>
        <v>46330</v>
      </c>
      <c r="BV5" s="24" t="n">
        <f aca="false">BU5+1</f>
        <v>46331</v>
      </c>
      <c r="BW5" s="24" t="n">
        <f aca="false">BV5+1</f>
        <v>46332</v>
      </c>
      <c r="BX5" s="24" t="n">
        <f aca="false">BW5+1</f>
        <v>46333</v>
      </c>
      <c r="BY5" s="24" t="n">
        <f aca="false">BX5+1</f>
        <v>46334</v>
      </c>
      <c r="BZ5" s="24" t="n">
        <f aca="false">BY5+1</f>
        <v>46335</v>
      </c>
      <c r="CA5" s="2"/>
      <c r="CB5" s="2"/>
      <c r="CC5" s="2"/>
      <c r="CD5" s="2"/>
    </row>
    <row r="6" customFormat="false" ht="15" hidden="false" customHeight="false" outlineLevel="0" collapsed="false">
      <c r="A6" s="25" t="n">
        <f aca="false">IF(タスク!$D4="","",タスク!$A4)</f>
        <v>1</v>
      </c>
      <c r="B6" s="25" t="str">
        <f aca="false">IF(タスク!$D4="","",タスク!$C4)</f>
        <v>A社_無線LAN更改</v>
      </c>
      <c r="C6" s="25" t="str">
        <f aca="false">IF(タスク!$D4="","",タスク!$D4)</f>
        <v>現地調査結果のまとめ</v>
      </c>
      <c r="D6" s="25" t="str">
        <f aca="false">IF(タスク!$D4="","",タスク!$E4)</f>
        <v>新人A</v>
      </c>
      <c r="E6" s="26" t="n">
        <f aca="false">IF(タスク!$D4="","",IF(タスク!$F4="","",タスク!$F4))</f>
        <v>46266</v>
      </c>
      <c r="F6" s="26" t="n">
        <f aca="false">IF(タスク!$D4="","",IF(タスク!$G4="","",タスク!$G4))</f>
        <v>46270</v>
      </c>
      <c r="G6" s="27" t="n">
        <f aca="false">IF(タスク!$D4="","",IF(タスク!$H4="完了",1,IF(タスク!$I4="",0,タスク!$I4)))</f>
        <v>0.4</v>
      </c>
      <c r="H6" s="25" t="str">
        <f aca="false">IF(タスク!$D4="","",タスク!$H4)</f>
        <v>進行中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"/>
      <c r="CB6" s="2"/>
      <c r="CC6" s="2"/>
      <c r="CD6" s="2"/>
    </row>
    <row r="7" customFormat="false" ht="15" hidden="false" customHeight="false" outlineLevel="0" collapsed="false">
      <c r="A7" s="25" t="n">
        <f aca="false">IF(タスク!$D5="","",タスク!$A5)</f>
        <v>2</v>
      </c>
      <c r="B7" s="25" t="str">
        <f aca="false">IF(タスク!$D5="","",タスク!$C5)</f>
        <v>A社_無線LAN更改</v>
      </c>
      <c r="C7" s="25" t="str">
        <f aca="false">IF(タスク!$D5="","",タスク!$D5)</f>
        <v>機器設定パラメータシート作成</v>
      </c>
      <c r="D7" s="25" t="str">
        <f aca="false">IF(タスク!$D5="","",タスク!$E5)</f>
        <v>新人A</v>
      </c>
      <c r="E7" s="26" t="n">
        <f aca="false">IF(タスク!$D5="","",IF(タスク!$F5="","",タスク!$F5))</f>
        <v>46269</v>
      </c>
      <c r="F7" s="26" t="n">
        <f aca="false">IF(タスク!$D5="","",IF(タスク!$G5="","",タスク!$G5))</f>
        <v>46273</v>
      </c>
      <c r="G7" s="27" t="n">
        <f aca="false">IF(タスク!$D5="","",IF(タスク!$H5="完了",1,IF(タスク!$I5="",0,タスク!$I5)))</f>
        <v>0.9</v>
      </c>
      <c r="H7" s="25" t="str">
        <f aca="false">IF(タスク!$D5="","",タスク!$H5)</f>
        <v>レビュー待ち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"/>
      <c r="CB7" s="2"/>
      <c r="CC7" s="2"/>
      <c r="CD7" s="2"/>
    </row>
    <row r="8" customFormat="false" ht="15" hidden="false" customHeight="false" outlineLevel="0" collapsed="false">
      <c r="A8" s="25" t="n">
        <f aca="false">IF(タスク!$D6="","",タスク!$A6)</f>
        <v>3</v>
      </c>
      <c r="B8" s="25" t="str">
        <f aca="false">IF(タスク!$D6="","",タスク!$C6)</f>
        <v>A社_FW更改</v>
      </c>
      <c r="C8" s="25" t="str">
        <f aca="false">IF(タスク!$D6="","",タスク!$D6)</f>
        <v>検証構成図の作成</v>
      </c>
      <c r="D8" s="25" t="str">
        <f aca="false">IF(タスク!$D6="","",タスク!$E6)</f>
        <v>新人B</v>
      </c>
      <c r="E8" s="26" t="n">
        <f aca="false">IF(タスク!$D6="","",IF(タスク!$F6="","",タスク!$F6))</f>
        <v>46272</v>
      </c>
      <c r="F8" s="26" t="n">
        <f aca="false">IF(タスク!$D6="","",IF(タスク!$G6="","",タスク!$G6))</f>
        <v>46277</v>
      </c>
      <c r="G8" s="27" t="n">
        <f aca="false">IF(タスク!$D6="","",IF(タスク!$H6="完了",1,IF(タスク!$I6="",0,タスク!$I6)))</f>
        <v>0.3</v>
      </c>
      <c r="H8" s="25" t="str">
        <f aca="false">IF(タスク!$D6="","",タスク!$H6)</f>
        <v>進行中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"/>
      <c r="CB8" s="2"/>
      <c r="CC8" s="2"/>
      <c r="CD8" s="2"/>
    </row>
    <row r="9" customFormat="false" ht="15" hidden="false" customHeight="false" outlineLevel="0" collapsed="false">
      <c r="A9" s="25" t="n">
        <f aca="false">IF(タスク!$D7="","",タスク!$A7)</f>
        <v>4</v>
      </c>
      <c r="B9" s="25" t="str">
        <f aca="false">IF(タスク!$D7="","",タスク!$C7)</f>
        <v>B社_監視導入</v>
      </c>
      <c r="C9" s="25" t="str">
        <f aca="false">IF(タスク!$D7="","",タスク!$D7)</f>
        <v>監視項目一覧のドラフト</v>
      </c>
      <c r="D9" s="25" t="str">
        <f aca="false">IF(タスク!$D7="","",タスク!$E7)</f>
        <v>新人B</v>
      </c>
      <c r="E9" s="26" t="n">
        <f aca="false">IF(タスク!$D7="","",IF(タスク!$F7="","",タスク!$F7))</f>
        <v>46267</v>
      </c>
      <c r="F9" s="26" t="n">
        <f aca="false">IF(タスク!$D7="","",IF(タスク!$G7="","",タスク!$G7))</f>
        <v>46270</v>
      </c>
      <c r="G9" s="27" t="n">
        <f aca="false">IF(タスク!$D7="","",IF(タスク!$H7="完了",1,IF(タスク!$I7="",0,タスク!$I7)))</f>
        <v>1</v>
      </c>
      <c r="H9" s="25" t="str">
        <f aca="false">IF(タスク!$D7="","",タスク!$H7)</f>
        <v>完了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"/>
      <c r="CB9" s="2"/>
      <c r="CC9" s="2"/>
      <c r="CD9" s="2"/>
    </row>
    <row r="10" customFormat="false" ht="15" hidden="false" customHeight="false" outlineLevel="0" collapsed="false">
      <c r="A10" s="25" t="n">
        <f aca="false">IF(タスク!$D8="","",タスク!$A8)</f>
        <v>5</v>
      </c>
      <c r="B10" s="25" t="str">
        <f aca="false">IF(タスク!$D8="","",タスク!$C8)</f>
        <v>B社_監視導入</v>
      </c>
      <c r="C10" s="25" t="str">
        <f aca="false">IF(タスク!$D8="","",タスク!$D8)</f>
        <v>死活監視の検証</v>
      </c>
      <c r="D10" s="25" t="str">
        <f aca="false">IF(タスク!$D8="","",タスク!$E8)</f>
        <v>新人A</v>
      </c>
      <c r="E10" s="26" t="n">
        <f aca="false">IF(タスク!$D8="","",IF(タスク!$F8="","",タスク!$F8))</f>
        <v>46274</v>
      </c>
      <c r="F10" s="26" t="n">
        <f aca="false">IF(タスク!$D8="","",IF(タスク!$G8="","",タスク!$G8))</f>
        <v>46281</v>
      </c>
      <c r="G10" s="27" t="n">
        <f aca="false">IF(タスク!$D8="","",IF(タスク!$H8="完了",1,IF(タスク!$I8="",0,タスク!$I8)))</f>
        <v>0</v>
      </c>
      <c r="H10" s="25" t="str">
        <f aca="false">IF(タスク!$D8="","",タスク!$H8)</f>
        <v>未着手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"/>
      <c r="CB10" s="2"/>
      <c r="CC10" s="2"/>
      <c r="CD10" s="2"/>
    </row>
    <row r="11" customFormat="false" ht="15" hidden="false" customHeight="false" outlineLevel="0" collapsed="false">
      <c r="A11" s="25" t="str">
        <f aca="false">IF(タスク!$D9="","",タスク!$A9)</f>
        <v/>
      </c>
      <c r="B11" s="25" t="str">
        <f aca="false">IF(タスク!$D9="","",タスク!$C9)</f>
        <v/>
      </c>
      <c r="C11" s="25" t="str">
        <f aca="false">IF(タスク!$D9="","",タスク!$D9)</f>
        <v/>
      </c>
      <c r="D11" s="25" t="str">
        <f aca="false">IF(タスク!$D9="","",タスク!$E9)</f>
        <v/>
      </c>
      <c r="E11" s="26" t="str">
        <f aca="false">IF(タスク!$D9="","",IF(タスク!$F9="","",タスク!$F9))</f>
        <v/>
      </c>
      <c r="F11" s="26" t="str">
        <f aca="false">IF(タスク!$D9="","",IF(タスク!$G9="","",タスク!$G9))</f>
        <v/>
      </c>
      <c r="G11" s="27" t="str">
        <f aca="false">IF(タスク!$D9="","",IF(タスク!$H9="完了",1,IF(タスク!$I9="",0,タスク!$I9)))</f>
        <v/>
      </c>
      <c r="H11" s="25" t="str">
        <f aca="false">IF(タスク!$D9="","",タスク!$H9)</f>
        <v/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"/>
      <c r="CB11" s="2"/>
      <c r="CC11" s="2"/>
      <c r="CD11" s="2"/>
    </row>
    <row r="12" customFormat="false" ht="15" hidden="false" customHeight="false" outlineLevel="0" collapsed="false">
      <c r="A12" s="25" t="str">
        <f aca="false">IF(タスク!$D10="","",タスク!$A10)</f>
        <v/>
      </c>
      <c r="B12" s="25" t="str">
        <f aca="false">IF(タスク!$D10="","",タスク!$C10)</f>
        <v/>
      </c>
      <c r="C12" s="25" t="str">
        <f aca="false">IF(タスク!$D10="","",タスク!$D10)</f>
        <v/>
      </c>
      <c r="D12" s="25" t="str">
        <f aca="false">IF(タスク!$D10="","",タスク!$E10)</f>
        <v/>
      </c>
      <c r="E12" s="26" t="str">
        <f aca="false">IF(タスク!$D10="","",IF(タスク!$F10="","",タスク!$F10))</f>
        <v/>
      </c>
      <c r="F12" s="26" t="str">
        <f aca="false">IF(タスク!$D10="","",IF(タスク!$G10="","",タスク!$G10))</f>
        <v/>
      </c>
      <c r="G12" s="27" t="str">
        <f aca="false">IF(タスク!$D10="","",IF(タスク!$H10="完了",1,IF(タスク!$I10="",0,タスク!$I10)))</f>
        <v/>
      </c>
      <c r="H12" s="25" t="str">
        <f aca="false">IF(タスク!$D10="","",タスク!$H10)</f>
        <v/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"/>
      <c r="CB12" s="2"/>
      <c r="CC12" s="2"/>
      <c r="CD12" s="2"/>
    </row>
    <row r="13" customFormat="false" ht="15" hidden="false" customHeight="false" outlineLevel="0" collapsed="false">
      <c r="A13" s="25" t="str">
        <f aca="false">IF(タスク!$D11="","",タスク!$A11)</f>
        <v/>
      </c>
      <c r="B13" s="25" t="str">
        <f aca="false">IF(タスク!$D11="","",タスク!$C11)</f>
        <v/>
      </c>
      <c r="C13" s="25" t="str">
        <f aca="false">IF(タスク!$D11="","",タスク!$D11)</f>
        <v/>
      </c>
      <c r="D13" s="25" t="str">
        <f aca="false">IF(タスク!$D11="","",タスク!$E11)</f>
        <v/>
      </c>
      <c r="E13" s="26" t="str">
        <f aca="false">IF(タスク!$D11="","",IF(タスク!$F11="","",タスク!$F11))</f>
        <v/>
      </c>
      <c r="F13" s="26" t="str">
        <f aca="false">IF(タスク!$D11="","",IF(タスク!$G11="","",タスク!$G11))</f>
        <v/>
      </c>
      <c r="G13" s="27" t="str">
        <f aca="false">IF(タスク!$D11="","",IF(タスク!$H11="完了",1,IF(タスク!$I11="",0,タスク!$I11)))</f>
        <v/>
      </c>
      <c r="H13" s="25" t="str">
        <f aca="false">IF(タスク!$D11="","",タスク!$H11)</f>
        <v/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"/>
      <c r="CB13" s="2"/>
      <c r="CC13" s="2"/>
      <c r="CD13" s="2"/>
    </row>
    <row r="14" customFormat="false" ht="15" hidden="false" customHeight="false" outlineLevel="0" collapsed="false">
      <c r="A14" s="25" t="str">
        <f aca="false">IF(タスク!$D12="","",タスク!$A12)</f>
        <v/>
      </c>
      <c r="B14" s="25" t="str">
        <f aca="false">IF(タスク!$D12="","",タスク!$C12)</f>
        <v/>
      </c>
      <c r="C14" s="25" t="str">
        <f aca="false">IF(タスク!$D12="","",タスク!$D12)</f>
        <v/>
      </c>
      <c r="D14" s="25" t="str">
        <f aca="false">IF(タスク!$D12="","",タスク!$E12)</f>
        <v/>
      </c>
      <c r="E14" s="26" t="str">
        <f aca="false">IF(タスク!$D12="","",IF(タスク!$F12="","",タスク!$F12))</f>
        <v/>
      </c>
      <c r="F14" s="26" t="str">
        <f aca="false">IF(タスク!$D12="","",IF(タスク!$G12="","",タスク!$G12))</f>
        <v/>
      </c>
      <c r="G14" s="27" t="str">
        <f aca="false">IF(タスク!$D12="","",IF(タスク!$H12="完了",1,IF(タスク!$I12="",0,タスク!$I12)))</f>
        <v/>
      </c>
      <c r="H14" s="25" t="str">
        <f aca="false">IF(タスク!$D12="","",タスク!$H12)</f>
        <v/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"/>
      <c r="CB14" s="2"/>
      <c r="CC14" s="2"/>
      <c r="CD14" s="2"/>
    </row>
    <row r="15" customFormat="false" ht="15" hidden="false" customHeight="false" outlineLevel="0" collapsed="false">
      <c r="A15" s="25" t="str">
        <f aca="false">IF(タスク!$D13="","",タスク!$A13)</f>
        <v/>
      </c>
      <c r="B15" s="25" t="str">
        <f aca="false">IF(タスク!$D13="","",タスク!$C13)</f>
        <v/>
      </c>
      <c r="C15" s="25" t="str">
        <f aca="false">IF(タスク!$D13="","",タスク!$D13)</f>
        <v/>
      </c>
      <c r="D15" s="25" t="str">
        <f aca="false">IF(タスク!$D13="","",タスク!$E13)</f>
        <v/>
      </c>
      <c r="E15" s="26" t="str">
        <f aca="false">IF(タスク!$D13="","",IF(タスク!$F13="","",タスク!$F13))</f>
        <v/>
      </c>
      <c r="F15" s="26" t="str">
        <f aca="false">IF(タスク!$D13="","",IF(タスク!$G13="","",タスク!$G13))</f>
        <v/>
      </c>
      <c r="G15" s="27" t="str">
        <f aca="false">IF(タスク!$D13="","",IF(タスク!$H13="完了",1,IF(タスク!$I13="",0,タスク!$I13)))</f>
        <v/>
      </c>
      <c r="H15" s="25" t="str">
        <f aca="false">IF(タスク!$D13="","",タスク!$H13)</f>
        <v/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"/>
      <c r="CB15" s="2"/>
      <c r="CC15" s="2"/>
      <c r="CD15" s="2"/>
    </row>
    <row r="16" customFormat="false" ht="15" hidden="false" customHeight="false" outlineLevel="0" collapsed="false">
      <c r="A16" s="25" t="str">
        <f aca="false">IF(タスク!$D14="","",タスク!$A14)</f>
        <v/>
      </c>
      <c r="B16" s="25" t="str">
        <f aca="false">IF(タスク!$D14="","",タスク!$C14)</f>
        <v/>
      </c>
      <c r="C16" s="25" t="str">
        <f aca="false">IF(タスク!$D14="","",タスク!$D14)</f>
        <v/>
      </c>
      <c r="D16" s="25" t="str">
        <f aca="false">IF(タスク!$D14="","",タスク!$E14)</f>
        <v/>
      </c>
      <c r="E16" s="26" t="str">
        <f aca="false">IF(タスク!$D14="","",IF(タスク!$F14="","",タスク!$F14))</f>
        <v/>
      </c>
      <c r="F16" s="26" t="str">
        <f aca="false">IF(タスク!$D14="","",IF(タスク!$G14="","",タスク!$G14))</f>
        <v/>
      </c>
      <c r="G16" s="27" t="str">
        <f aca="false">IF(タスク!$D14="","",IF(タスク!$H14="完了",1,IF(タスク!$I14="",0,タスク!$I14)))</f>
        <v/>
      </c>
      <c r="H16" s="25" t="str">
        <f aca="false">IF(タスク!$D14="","",タスク!$H14)</f>
        <v/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"/>
      <c r="CB16" s="2"/>
      <c r="CC16" s="2"/>
      <c r="CD16" s="2"/>
    </row>
    <row r="17" customFormat="false" ht="15" hidden="false" customHeight="false" outlineLevel="0" collapsed="false">
      <c r="A17" s="25" t="str">
        <f aca="false">IF(タスク!$D15="","",タスク!$A15)</f>
        <v/>
      </c>
      <c r="B17" s="25" t="str">
        <f aca="false">IF(タスク!$D15="","",タスク!$C15)</f>
        <v/>
      </c>
      <c r="C17" s="25" t="str">
        <f aca="false">IF(タスク!$D15="","",タスク!$D15)</f>
        <v/>
      </c>
      <c r="D17" s="25" t="str">
        <f aca="false">IF(タスク!$D15="","",タスク!$E15)</f>
        <v/>
      </c>
      <c r="E17" s="26" t="str">
        <f aca="false">IF(タスク!$D15="","",IF(タスク!$F15="","",タスク!$F15))</f>
        <v/>
      </c>
      <c r="F17" s="26" t="str">
        <f aca="false">IF(タスク!$D15="","",IF(タスク!$G15="","",タスク!$G15))</f>
        <v/>
      </c>
      <c r="G17" s="27" t="str">
        <f aca="false">IF(タスク!$D15="","",IF(タスク!$H15="完了",1,IF(タスク!$I15="",0,タスク!$I15)))</f>
        <v/>
      </c>
      <c r="H17" s="25" t="str">
        <f aca="false">IF(タスク!$D15="","",タスク!$H15)</f>
        <v/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"/>
      <c r="CB17" s="2"/>
      <c r="CC17" s="2"/>
      <c r="CD17" s="2"/>
    </row>
    <row r="18" customFormat="false" ht="15" hidden="false" customHeight="false" outlineLevel="0" collapsed="false">
      <c r="A18" s="25" t="str">
        <f aca="false">IF(タスク!$D16="","",タスク!$A16)</f>
        <v/>
      </c>
      <c r="B18" s="25" t="str">
        <f aca="false">IF(タスク!$D16="","",タスク!$C16)</f>
        <v/>
      </c>
      <c r="C18" s="25" t="str">
        <f aca="false">IF(タスク!$D16="","",タスク!$D16)</f>
        <v/>
      </c>
      <c r="D18" s="25" t="str">
        <f aca="false">IF(タスク!$D16="","",タスク!$E16)</f>
        <v/>
      </c>
      <c r="E18" s="26" t="str">
        <f aca="false">IF(タスク!$D16="","",IF(タスク!$F16="","",タスク!$F16))</f>
        <v/>
      </c>
      <c r="F18" s="26" t="str">
        <f aca="false">IF(タスク!$D16="","",IF(タスク!$G16="","",タスク!$G16))</f>
        <v/>
      </c>
      <c r="G18" s="27" t="str">
        <f aca="false">IF(タスク!$D16="","",IF(タスク!$H16="完了",1,IF(タスク!$I16="",0,タスク!$I16)))</f>
        <v/>
      </c>
      <c r="H18" s="25" t="str">
        <f aca="false">IF(タスク!$D16="","",タスク!$H16)</f>
        <v/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"/>
      <c r="CB18" s="2"/>
      <c r="CC18" s="2"/>
      <c r="CD18" s="2"/>
    </row>
    <row r="19" customFormat="false" ht="15" hidden="false" customHeight="false" outlineLevel="0" collapsed="false">
      <c r="A19" s="25" t="str">
        <f aca="false">IF(タスク!$D17="","",タスク!$A17)</f>
        <v/>
      </c>
      <c r="B19" s="25" t="str">
        <f aca="false">IF(タスク!$D17="","",タスク!$C17)</f>
        <v/>
      </c>
      <c r="C19" s="25" t="str">
        <f aca="false">IF(タスク!$D17="","",タスク!$D17)</f>
        <v/>
      </c>
      <c r="D19" s="25" t="str">
        <f aca="false">IF(タスク!$D17="","",タスク!$E17)</f>
        <v/>
      </c>
      <c r="E19" s="26" t="str">
        <f aca="false">IF(タスク!$D17="","",IF(タスク!$F17="","",タスク!$F17))</f>
        <v/>
      </c>
      <c r="F19" s="26" t="str">
        <f aca="false">IF(タスク!$D17="","",IF(タスク!$G17="","",タスク!$G17))</f>
        <v/>
      </c>
      <c r="G19" s="27" t="str">
        <f aca="false">IF(タスク!$D17="","",IF(タスク!$H17="完了",1,IF(タスク!$I17="",0,タスク!$I17)))</f>
        <v/>
      </c>
      <c r="H19" s="25" t="str">
        <f aca="false">IF(タスク!$D17="","",タスク!$H17)</f>
        <v/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"/>
      <c r="CB19" s="2"/>
      <c r="CC19" s="2"/>
      <c r="CD19" s="2"/>
    </row>
    <row r="20" customFormat="false" ht="15" hidden="false" customHeight="false" outlineLevel="0" collapsed="false">
      <c r="A20" s="25" t="str">
        <f aca="false">IF(タスク!$D18="","",タスク!$A18)</f>
        <v/>
      </c>
      <c r="B20" s="25" t="str">
        <f aca="false">IF(タスク!$D18="","",タスク!$C18)</f>
        <v/>
      </c>
      <c r="C20" s="25" t="str">
        <f aca="false">IF(タスク!$D18="","",タスク!$D18)</f>
        <v/>
      </c>
      <c r="D20" s="25" t="str">
        <f aca="false">IF(タスク!$D18="","",タスク!$E18)</f>
        <v/>
      </c>
      <c r="E20" s="26" t="str">
        <f aca="false">IF(タスク!$D18="","",IF(タスク!$F18="","",タスク!$F18))</f>
        <v/>
      </c>
      <c r="F20" s="26" t="str">
        <f aca="false">IF(タスク!$D18="","",IF(タスク!$G18="","",タスク!$G18))</f>
        <v/>
      </c>
      <c r="G20" s="27" t="str">
        <f aca="false">IF(タスク!$D18="","",IF(タスク!$H18="完了",1,IF(タスク!$I18="",0,タスク!$I18)))</f>
        <v/>
      </c>
      <c r="H20" s="25" t="str">
        <f aca="false">IF(タスク!$D18="","",タスク!$H18)</f>
        <v/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"/>
      <c r="CB20" s="2"/>
      <c r="CC20" s="2"/>
      <c r="CD20" s="2"/>
    </row>
    <row r="21" customFormat="false" ht="15" hidden="false" customHeight="false" outlineLevel="0" collapsed="false">
      <c r="A21" s="25" t="str">
        <f aca="false">IF(タスク!$D19="","",タスク!$A19)</f>
        <v/>
      </c>
      <c r="B21" s="25" t="str">
        <f aca="false">IF(タスク!$D19="","",タスク!$C19)</f>
        <v/>
      </c>
      <c r="C21" s="25" t="str">
        <f aca="false">IF(タスク!$D19="","",タスク!$D19)</f>
        <v/>
      </c>
      <c r="D21" s="25" t="str">
        <f aca="false">IF(タスク!$D19="","",タスク!$E19)</f>
        <v/>
      </c>
      <c r="E21" s="26" t="str">
        <f aca="false">IF(タスク!$D19="","",IF(タスク!$F19="","",タスク!$F19))</f>
        <v/>
      </c>
      <c r="F21" s="26" t="str">
        <f aca="false">IF(タスク!$D19="","",IF(タスク!$G19="","",タスク!$G19))</f>
        <v/>
      </c>
      <c r="G21" s="27" t="str">
        <f aca="false">IF(タスク!$D19="","",IF(タスク!$H19="完了",1,IF(タスク!$I19="",0,タスク!$I19)))</f>
        <v/>
      </c>
      <c r="H21" s="25" t="str">
        <f aca="false">IF(タスク!$D19="","",タスク!$H19)</f>
        <v/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"/>
      <c r="CB21" s="2"/>
      <c r="CC21" s="2"/>
      <c r="CD21" s="2"/>
    </row>
    <row r="22" customFormat="false" ht="15" hidden="false" customHeight="false" outlineLevel="0" collapsed="false">
      <c r="A22" s="25" t="str">
        <f aca="false">IF(タスク!$D20="","",タスク!$A20)</f>
        <v/>
      </c>
      <c r="B22" s="25" t="str">
        <f aca="false">IF(タスク!$D20="","",タスク!$C20)</f>
        <v/>
      </c>
      <c r="C22" s="25" t="str">
        <f aca="false">IF(タスク!$D20="","",タスク!$D20)</f>
        <v/>
      </c>
      <c r="D22" s="25" t="str">
        <f aca="false">IF(タスク!$D20="","",タスク!$E20)</f>
        <v/>
      </c>
      <c r="E22" s="26" t="str">
        <f aca="false">IF(タスク!$D20="","",IF(タスク!$F20="","",タスク!$F20))</f>
        <v/>
      </c>
      <c r="F22" s="26" t="str">
        <f aca="false">IF(タスク!$D20="","",IF(タスク!$G20="","",タスク!$G20))</f>
        <v/>
      </c>
      <c r="G22" s="27" t="str">
        <f aca="false">IF(タスク!$D20="","",IF(タスク!$H20="完了",1,IF(タスク!$I20="",0,タスク!$I20)))</f>
        <v/>
      </c>
      <c r="H22" s="25" t="str">
        <f aca="false">IF(タスク!$D20="","",タスク!$H20)</f>
        <v/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"/>
      <c r="CB22" s="2"/>
      <c r="CC22" s="2"/>
      <c r="CD22" s="2"/>
    </row>
    <row r="23" customFormat="false" ht="15" hidden="false" customHeight="false" outlineLevel="0" collapsed="false">
      <c r="A23" s="25" t="str">
        <f aca="false">IF(タスク!$D21="","",タスク!$A21)</f>
        <v/>
      </c>
      <c r="B23" s="25" t="str">
        <f aca="false">IF(タスク!$D21="","",タスク!$C21)</f>
        <v/>
      </c>
      <c r="C23" s="25" t="str">
        <f aca="false">IF(タスク!$D21="","",タスク!$D21)</f>
        <v/>
      </c>
      <c r="D23" s="25" t="str">
        <f aca="false">IF(タスク!$D21="","",タスク!$E21)</f>
        <v/>
      </c>
      <c r="E23" s="26" t="str">
        <f aca="false">IF(タスク!$D21="","",IF(タスク!$F21="","",タスク!$F21))</f>
        <v/>
      </c>
      <c r="F23" s="26" t="str">
        <f aca="false">IF(タスク!$D21="","",IF(タスク!$G21="","",タスク!$G21))</f>
        <v/>
      </c>
      <c r="G23" s="27" t="str">
        <f aca="false">IF(タスク!$D21="","",IF(タスク!$H21="完了",1,IF(タスク!$I21="",0,タスク!$I21)))</f>
        <v/>
      </c>
      <c r="H23" s="25" t="str">
        <f aca="false">IF(タスク!$D21="","",タスク!$H21)</f>
        <v/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"/>
      <c r="CB23" s="2"/>
      <c r="CC23" s="2"/>
      <c r="CD23" s="2"/>
    </row>
    <row r="24" customFormat="false" ht="15" hidden="false" customHeight="false" outlineLevel="0" collapsed="false">
      <c r="A24" s="25" t="str">
        <f aca="false">IF(タスク!$D22="","",タスク!$A22)</f>
        <v/>
      </c>
      <c r="B24" s="25" t="str">
        <f aca="false">IF(タスク!$D22="","",タスク!$C22)</f>
        <v/>
      </c>
      <c r="C24" s="25" t="str">
        <f aca="false">IF(タスク!$D22="","",タスク!$D22)</f>
        <v/>
      </c>
      <c r="D24" s="25" t="str">
        <f aca="false">IF(タスク!$D22="","",タスク!$E22)</f>
        <v/>
      </c>
      <c r="E24" s="26" t="str">
        <f aca="false">IF(タスク!$D22="","",IF(タスク!$F22="","",タスク!$F22))</f>
        <v/>
      </c>
      <c r="F24" s="26" t="str">
        <f aca="false">IF(タスク!$D22="","",IF(タスク!$G22="","",タスク!$G22))</f>
        <v/>
      </c>
      <c r="G24" s="27" t="str">
        <f aca="false">IF(タスク!$D22="","",IF(タスク!$H22="完了",1,IF(タスク!$I22="",0,タスク!$I22)))</f>
        <v/>
      </c>
      <c r="H24" s="25" t="str">
        <f aca="false">IF(タスク!$D22="","",タスク!$H22)</f>
        <v/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"/>
      <c r="CB24" s="2"/>
      <c r="CC24" s="2"/>
      <c r="CD24" s="2"/>
    </row>
    <row r="25" customFormat="false" ht="15" hidden="false" customHeight="false" outlineLevel="0" collapsed="false">
      <c r="A25" s="25" t="str">
        <f aca="false">IF(タスク!$D23="","",タスク!$A23)</f>
        <v/>
      </c>
      <c r="B25" s="25" t="str">
        <f aca="false">IF(タスク!$D23="","",タスク!$C23)</f>
        <v/>
      </c>
      <c r="C25" s="25" t="str">
        <f aca="false">IF(タスク!$D23="","",タスク!$D23)</f>
        <v/>
      </c>
      <c r="D25" s="25" t="str">
        <f aca="false">IF(タスク!$D23="","",タスク!$E23)</f>
        <v/>
      </c>
      <c r="E25" s="26" t="str">
        <f aca="false">IF(タスク!$D23="","",IF(タスク!$F23="","",タスク!$F23))</f>
        <v/>
      </c>
      <c r="F25" s="26" t="str">
        <f aca="false">IF(タスク!$D23="","",IF(タスク!$G23="","",タスク!$G23))</f>
        <v/>
      </c>
      <c r="G25" s="27" t="str">
        <f aca="false">IF(タスク!$D23="","",IF(タスク!$H23="完了",1,IF(タスク!$I23="",0,タスク!$I23)))</f>
        <v/>
      </c>
      <c r="H25" s="25" t="str">
        <f aca="false">IF(タスク!$D23="","",タスク!$H23)</f>
        <v/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"/>
      <c r="CB25" s="2"/>
      <c r="CC25" s="2"/>
      <c r="CD25" s="2"/>
    </row>
    <row r="26" customFormat="false" ht="15" hidden="false" customHeight="false" outlineLevel="0" collapsed="false">
      <c r="A26" s="25" t="str">
        <f aca="false">IF(タスク!$D24="","",タスク!$A24)</f>
        <v/>
      </c>
      <c r="B26" s="25" t="str">
        <f aca="false">IF(タスク!$D24="","",タスク!$C24)</f>
        <v/>
      </c>
      <c r="C26" s="25" t="str">
        <f aca="false">IF(タスク!$D24="","",タスク!$D24)</f>
        <v/>
      </c>
      <c r="D26" s="25" t="str">
        <f aca="false">IF(タスク!$D24="","",タスク!$E24)</f>
        <v/>
      </c>
      <c r="E26" s="26" t="str">
        <f aca="false">IF(タスク!$D24="","",IF(タスク!$F24="","",タスク!$F24))</f>
        <v/>
      </c>
      <c r="F26" s="26" t="str">
        <f aca="false">IF(タスク!$D24="","",IF(タスク!$G24="","",タスク!$G24))</f>
        <v/>
      </c>
      <c r="G26" s="27" t="str">
        <f aca="false">IF(タスク!$D24="","",IF(タスク!$H24="完了",1,IF(タスク!$I24="",0,タスク!$I24)))</f>
        <v/>
      </c>
      <c r="H26" s="25" t="str">
        <f aca="false">IF(タスク!$D24="","",タスク!$H24)</f>
        <v/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"/>
      <c r="CB26" s="2"/>
      <c r="CC26" s="2"/>
      <c r="CD26" s="2"/>
    </row>
    <row r="27" customFormat="false" ht="15" hidden="false" customHeight="false" outlineLevel="0" collapsed="false">
      <c r="A27" s="25" t="str">
        <f aca="false">IF(タスク!$D25="","",タスク!$A25)</f>
        <v/>
      </c>
      <c r="B27" s="25" t="str">
        <f aca="false">IF(タスク!$D25="","",タスク!$C25)</f>
        <v/>
      </c>
      <c r="C27" s="25" t="str">
        <f aca="false">IF(タスク!$D25="","",タスク!$D25)</f>
        <v/>
      </c>
      <c r="D27" s="25" t="str">
        <f aca="false">IF(タスク!$D25="","",タスク!$E25)</f>
        <v/>
      </c>
      <c r="E27" s="26" t="str">
        <f aca="false">IF(タスク!$D25="","",IF(タスク!$F25="","",タスク!$F25))</f>
        <v/>
      </c>
      <c r="F27" s="26" t="str">
        <f aca="false">IF(タスク!$D25="","",IF(タスク!$G25="","",タスク!$G25))</f>
        <v/>
      </c>
      <c r="G27" s="27" t="str">
        <f aca="false">IF(タスク!$D25="","",IF(タスク!$H25="完了",1,IF(タスク!$I25="",0,タスク!$I25)))</f>
        <v/>
      </c>
      <c r="H27" s="25" t="str">
        <f aca="false">IF(タスク!$D25="","",タスク!$H25)</f>
        <v/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"/>
      <c r="CB27" s="2"/>
      <c r="CC27" s="2"/>
      <c r="CD27" s="2"/>
    </row>
    <row r="28" customFormat="false" ht="15" hidden="false" customHeight="false" outlineLevel="0" collapsed="false">
      <c r="A28" s="25" t="str">
        <f aca="false">IF(タスク!$D26="","",タスク!$A26)</f>
        <v/>
      </c>
      <c r="B28" s="25" t="str">
        <f aca="false">IF(タスク!$D26="","",タスク!$C26)</f>
        <v/>
      </c>
      <c r="C28" s="25" t="str">
        <f aca="false">IF(タスク!$D26="","",タスク!$D26)</f>
        <v/>
      </c>
      <c r="D28" s="25" t="str">
        <f aca="false">IF(タスク!$D26="","",タスク!$E26)</f>
        <v/>
      </c>
      <c r="E28" s="26" t="str">
        <f aca="false">IF(タスク!$D26="","",IF(タスク!$F26="","",タスク!$F26))</f>
        <v/>
      </c>
      <c r="F28" s="26" t="str">
        <f aca="false">IF(タスク!$D26="","",IF(タスク!$G26="","",タスク!$G26))</f>
        <v/>
      </c>
      <c r="G28" s="27" t="str">
        <f aca="false">IF(タスク!$D26="","",IF(タスク!$H26="完了",1,IF(タスク!$I26="",0,タスク!$I26)))</f>
        <v/>
      </c>
      <c r="H28" s="25" t="str">
        <f aca="false">IF(タスク!$D26="","",タスク!$H26)</f>
        <v/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"/>
      <c r="CB28" s="2"/>
      <c r="CC28" s="2"/>
      <c r="CD28" s="2"/>
    </row>
    <row r="29" customFormat="false" ht="15" hidden="false" customHeight="false" outlineLevel="0" collapsed="false">
      <c r="A29" s="25" t="str">
        <f aca="false">IF(タスク!$D27="","",タスク!$A27)</f>
        <v/>
      </c>
      <c r="B29" s="25" t="str">
        <f aca="false">IF(タスク!$D27="","",タスク!$C27)</f>
        <v/>
      </c>
      <c r="C29" s="25" t="str">
        <f aca="false">IF(タスク!$D27="","",タスク!$D27)</f>
        <v/>
      </c>
      <c r="D29" s="25" t="str">
        <f aca="false">IF(タスク!$D27="","",タスク!$E27)</f>
        <v/>
      </c>
      <c r="E29" s="26" t="str">
        <f aca="false">IF(タスク!$D27="","",IF(タスク!$F27="","",タスク!$F27))</f>
        <v/>
      </c>
      <c r="F29" s="26" t="str">
        <f aca="false">IF(タスク!$D27="","",IF(タスク!$G27="","",タスク!$G27))</f>
        <v/>
      </c>
      <c r="G29" s="27" t="str">
        <f aca="false">IF(タスク!$D27="","",IF(タスク!$H27="完了",1,IF(タスク!$I27="",0,タスク!$I27)))</f>
        <v/>
      </c>
      <c r="H29" s="25" t="str">
        <f aca="false">IF(タスク!$D27="","",タスク!$H27)</f>
        <v/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"/>
      <c r="CB29" s="2"/>
      <c r="CC29" s="2"/>
      <c r="CD29" s="2"/>
    </row>
    <row r="30" customFormat="false" ht="15" hidden="false" customHeight="false" outlineLevel="0" collapsed="false">
      <c r="A30" s="25" t="str">
        <f aca="false">IF(タスク!$D28="","",タスク!$A28)</f>
        <v/>
      </c>
      <c r="B30" s="25" t="str">
        <f aca="false">IF(タスク!$D28="","",タスク!$C28)</f>
        <v/>
      </c>
      <c r="C30" s="25" t="str">
        <f aca="false">IF(タスク!$D28="","",タスク!$D28)</f>
        <v/>
      </c>
      <c r="D30" s="25" t="str">
        <f aca="false">IF(タスク!$D28="","",タスク!$E28)</f>
        <v/>
      </c>
      <c r="E30" s="26" t="str">
        <f aca="false">IF(タスク!$D28="","",IF(タスク!$F28="","",タスク!$F28))</f>
        <v/>
      </c>
      <c r="F30" s="26" t="str">
        <f aca="false">IF(タスク!$D28="","",IF(タスク!$G28="","",タスク!$G28))</f>
        <v/>
      </c>
      <c r="G30" s="27" t="str">
        <f aca="false">IF(タスク!$D28="","",IF(タスク!$H28="完了",1,IF(タスク!$I28="",0,タスク!$I28)))</f>
        <v/>
      </c>
      <c r="H30" s="25" t="str">
        <f aca="false">IF(タスク!$D28="","",タスク!$H28)</f>
        <v/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"/>
      <c r="CB30" s="2"/>
      <c r="CC30" s="2"/>
      <c r="CD30" s="2"/>
    </row>
    <row r="31" customFormat="false" ht="15" hidden="false" customHeight="false" outlineLevel="0" collapsed="false">
      <c r="A31" s="25" t="str">
        <f aca="false">IF(タスク!$D29="","",タスク!$A29)</f>
        <v/>
      </c>
      <c r="B31" s="25" t="str">
        <f aca="false">IF(タスク!$D29="","",タスク!$C29)</f>
        <v/>
      </c>
      <c r="C31" s="25" t="str">
        <f aca="false">IF(タスク!$D29="","",タスク!$D29)</f>
        <v/>
      </c>
      <c r="D31" s="25" t="str">
        <f aca="false">IF(タスク!$D29="","",タスク!$E29)</f>
        <v/>
      </c>
      <c r="E31" s="26" t="str">
        <f aca="false">IF(タスク!$D29="","",IF(タスク!$F29="","",タスク!$F29))</f>
        <v/>
      </c>
      <c r="F31" s="26" t="str">
        <f aca="false">IF(タスク!$D29="","",IF(タスク!$G29="","",タスク!$G29))</f>
        <v/>
      </c>
      <c r="G31" s="27" t="str">
        <f aca="false">IF(タスク!$D29="","",IF(タスク!$H29="完了",1,IF(タスク!$I29="",0,タスク!$I29)))</f>
        <v/>
      </c>
      <c r="H31" s="25" t="str">
        <f aca="false">IF(タスク!$D29="","",タスク!$H29)</f>
        <v/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"/>
      <c r="CB31" s="2"/>
      <c r="CC31" s="2"/>
      <c r="CD31" s="2"/>
    </row>
    <row r="32" customFormat="false" ht="15" hidden="false" customHeight="false" outlineLevel="0" collapsed="false">
      <c r="A32" s="25" t="str">
        <f aca="false">IF(タスク!$D30="","",タスク!$A30)</f>
        <v/>
      </c>
      <c r="B32" s="25" t="str">
        <f aca="false">IF(タスク!$D30="","",タスク!$C30)</f>
        <v/>
      </c>
      <c r="C32" s="25" t="str">
        <f aca="false">IF(タスク!$D30="","",タスク!$D30)</f>
        <v/>
      </c>
      <c r="D32" s="25" t="str">
        <f aca="false">IF(タスク!$D30="","",タスク!$E30)</f>
        <v/>
      </c>
      <c r="E32" s="26" t="str">
        <f aca="false">IF(タスク!$D30="","",IF(タスク!$F30="","",タスク!$F30))</f>
        <v/>
      </c>
      <c r="F32" s="26" t="str">
        <f aca="false">IF(タスク!$D30="","",IF(タスク!$G30="","",タスク!$G30))</f>
        <v/>
      </c>
      <c r="G32" s="27" t="str">
        <f aca="false">IF(タスク!$D30="","",IF(タスク!$H30="完了",1,IF(タスク!$I30="",0,タスク!$I30)))</f>
        <v/>
      </c>
      <c r="H32" s="25" t="str">
        <f aca="false">IF(タスク!$D30="","",タスク!$H30)</f>
        <v/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"/>
      <c r="CB32" s="2"/>
      <c r="CC32" s="2"/>
      <c r="CD32" s="2"/>
    </row>
    <row r="33" customFormat="false" ht="15" hidden="false" customHeight="false" outlineLevel="0" collapsed="false">
      <c r="A33" s="25" t="str">
        <f aca="false">IF(タスク!$D31="","",タスク!$A31)</f>
        <v/>
      </c>
      <c r="B33" s="25" t="str">
        <f aca="false">IF(タスク!$D31="","",タスク!$C31)</f>
        <v/>
      </c>
      <c r="C33" s="25" t="str">
        <f aca="false">IF(タスク!$D31="","",タスク!$D31)</f>
        <v/>
      </c>
      <c r="D33" s="25" t="str">
        <f aca="false">IF(タスク!$D31="","",タスク!$E31)</f>
        <v/>
      </c>
      <c r="E33" s="26" t="str">
        <f aca="false">IF(タスク!$D31="","",IF(タスク!$F31="","",タスク!$F31))</f>
        <v/>
      </c>
      <c r="F33" s="26" t="str">
        <f aca="false">IF(タスク!$D31="","",IF(タスク!$G31="","",タスク!$G31))</f>
        <v/>
      </c>
      <c r="G33" s="27" t="str">
        <f aca="false">IF(タスク!$D31="","",IF(タスク!$H31="完了",1,IF(タスク!$I31="",0,タスク!$I31)))</f>
        <v/>
      </c>
      <c r="H33" s="25" t="str">
        <f aca="false">IF(タスク!$D31="","",タスク!$H31)</f>
        <v/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"/>
      <c r="CB33" s="2"/>
      <c r="CC33" s="2"/>
      <c r="CD33" s="2"/>
    </row>
    <row r="34" customFormat="false" ht="15" hidden="false" customHeight="false" outlineLevel="0" collapsed="false">
      <c r="A34" s="25" t="str">
        <f aca="false">IF(タスク!$D32="","",タスク!$A32)</f>
        <v/>
      </c>
      <c r="B34" s="25" t="str">
        <f aca="false">IF(タスク!$D32="","",タスク!$C32)</f>
        <v/>
      </c>
      <c r="C34" s="25" t="str">
        <f aca="false">IF(タスク!$D32="","",タスク!$D32)</f>
        <v/>
      </c>
      <c r="D34" s="25" t="str">
        <f aca="false">IF(タスク!$D32="","",タスク!$E32)</f>
        <v/>
      </c>
      <c r="E34" s="26" t="str">
        <f aca="false">IF(タスク!$D32="","",IF(タスク!$F32="","",タスク!$F32))</f>
        <v/>
      </c>
      <c r="F34" s="26" t="str">
        <f aca="false">IF(タスク!$D32="","",IF(タスク!$G32="","",タスク!$G32))</f>
        <v/>
      </c>
      <c r="G34" s="27" t="str">
        <f aca="false">IF(タスク!$D32="","",IF(タスク!$H32="完了",1,IF(タスク!$I32="",0,タスク!$I32)))</f>
        <v/>
      </c>
      <c r="H34" s="25" t="str">
        <f aca="false">IF(タスク!$D32="","",タスク!$H32)</f>
        <v/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"/>
      <c r="CB34" s="2"/>
      <c r="CC34" s="2"/>
      <c r="CD34" s="2"/>
    </row>
    <row r="35" customFormat="false" ht="15" hidden="false" customHeight="false" outlineLevel="0" collapsed="false">
      <c r="A35" s="25" t="str">
        <f aca="false">IF(タスク!$D33="","",タスク!$A33)</f>
        <v/>
      </c>
      <c r="B35" s="25" t="str">
        <f aca="false">IF(タスク!$D33="","",タスク!$C33)</f>
        <v/>
      </c>
      <c r="C35" s="25" t="str">
        <f aca="false">IF(タスク!$D33="","",タスク!$D33)</f>
        <v/>
      </c>
      <c r="D35" s="25" t="str">
        <f aca="false">IF(タスク!$D33="","",タスク!$E33)</f>
        <v/>
      </c>
      <c r="E35" s="26" t="str">
        <f aca="false">IF(タスク!$D33="","",IF(タスク!$F33="","",タスク!$F33))</f>
        <v/>
      </c>
      <c r="F35" s="26" t="str">
        <f aca="false">IF(タスク!$D33="","",IF(タスク!$G33="","",タスク!$G33))</f>
        <v/>
      </c>
      <c r="G35" s="27" t="str">
        <f aca="false">IF(タスク!$D33="","",IF(タスク!$H33="完了",1,IF(タスク!$I33="",0,タスク!$I33)))</f>
        <v/>
      </c>
      <c r="H35" s="25" t="str">
        <f aca="false">IF(タスク!$D33="","",タスク!$H33)</f>
        <v/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"/>
      <c r="CB35" s="2"/>
      <c r="CC35" s="2"/>
      <c r="CD35" s="2"/>
    </row>
    <row r="36" customFormat="false" ht="15" hidden="false" customHeight="false" outlineLevel="0" collapsed="false">
      <c r="A36" s="25" t="str">
        <f aca="false">IF(タスク!$D34="","",タスク!$A34)</f>
        <v/>
      </c>
      <c r="B36" s="25" t="str">
        <f aca="false">IF(タスク!$D34="","",タスク!$C34)</f>
        <v/>
      </c>
      <c r="C36" s="25" t="str">
        <f aca="false">IF(タスク!$D34="","",タスク!$D34)</f>
        <v/>
      </c>
      <c r="D36" s="25" t="str">
        <f aca="false">IF(タスク!$D34="","",タスク!$E34)</f>
        <v/>
      </c>
      <c r="E36" s="26" t="str">
        <f aca="false">IF(タスク!$D34="","",IF(タスク!$F34="","",タスク!$F34))</f>
        <v/>
      </c>
      <c r="F36" s="26" t="str">
        <f aca="false">IF(タスク!$D34="","",IF(タスク!$G34="","",タスク!$G34))</f>
        <v/>
      </c>
      <c r="G36" s="27" t="str">
        <f aca="false">IF(タスク!$D34="","",IF(タスク!$H34="完了",1,IF(タスク!$I34="",0,タスク!$I34)))</f>
        <v/>
      </c>
      <c r="H36" s="25" t="str">
        <f aca="false">IF(タスク!$D34="","",タスク!$H34)</f>
        <v/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"/>
      <c r="CB36" s="2"/>
      <c r="CC36" s="2"/>
      <c r="CD36" s="2"/>
    </row>
    <row r="37" customFormat="false" ht="15" hidden="false" customHeight="false" outlineLevel="0" collapsed="false">
      <c r="A37" s="25" t="str">
        <f aca="false">IF(タスク!$D35="","",タスク!$A35)</f>
        <v/>
      </c>
      <c r="B37" s="25" t="str">
        <f aca="false">IF(タスク!$D35="","",タスク!$C35)</f>
        <v/>
      </c>
      <c r="C37" s="25" t="str">
        <f aca="false">IF(タスク!$D35="","",タスク!$D35)</f>
        <v/>
      </c>
      <c r="D37" s="25" t="str">
        <f aca="false">IF(タスク!$D35="","",タスク!$E35)</f>
        <v/>
      </c>
      <c r="E37" s="26" t="str">
        <f aca="false">IF(タスク!$D35="","",IF(タスク!$F35="","",タスク!$F35))</f>
        <v/>
      </c>
      <c r="F37" s="26" t="str">
        <f aca="false">IF(タスク!$D35="","",IF(タスク!$G35="","",タスク!$G35))</f>
        <v/>
      </c>
      <c r="G37" s="27" t="str">
        <f aca="false">IF(タスク!$D35="","",IF(タスク!$H35="完了",1,IF(タスク!$I35="",0,タスク!$I35)))</f>
        <v/>
      </c>
      <c r="H37" s="25" t="str">
        <f aca="false">IF(タスク!$D35="","",タスク!$H35)</f>
        <v/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"/>
      <c r="CB37" s="2"/>
      <c r="CC37" s="2"/>
      <c r="CD37" s="2"/>
    </row>
    <row r="38" customFormat="false" ht="15" hidden="false" customHeight="false" outlineLevel="0" collapsed="false">
      <c r="A38" s="25" t="str">
        <f aca="false">IF(タスク!$D36="","",タスク!$A36)</f>
        <v/>
      </c>
      <c r="B38" s="25" t="str">
        <f aca="false">IF(タスク!$D36="","",タスク!$C36)</f>
        <v/>
      </c>
      <c r="C38" s="25" t="str">
        <f aca="false">IF(タスク!$D36="","",タスク!$D36)</f>
        <v/>
      </c>
      <c r="D38" s="25" t="str">
        <f aca="false">IF(タスク!$D36="","",タスク!$E36)</f>
        <v/>
      </c>
      <c r="E38" s="26" t="str">
        <f aca="false">IF(タスク!$D36="","",IF(タスク!$F36="","",タスク!$F36))</f>
        <v/>
      </c>
      <c r="F38" s="26" t="str">
        <f aca="false">IF(タスク!$D36="","",IF(タスク!$G36="","",タスク!$G36))</f>
        <v/>
      </c>
      <c r="G38" s="27" t="str">
        <f aca="false">IF(タスク!$D36="","",IF(タスク!$H36="完了",1,IF(タスク!$I36="",0,タスク!$I36)))</f>
        <v/>
      </c>
      <c r="H38" s="25" t="str">
        <f aca="false">IF(タスク!$D36="","",タスク!$H36)</f>
        <v/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"/>
      <c r="CB38" s="2"/>
      <c r="CC38" s="2"/>
      <c r="CD38" s="2"/>
    </row>
    <row r="39" customFormat="false" ht="15" hidden="false" customHeight="false" outlineLevel="0" collapsed="false">
      <c r="A39" s="25" t="str">
        <f aca="false">IF(タスク!$D37="","",タスク!$A37)</f>
        <v/>
      </c>
      <c r="B39" s="25" t="str">
        <f aca="false">IF(タスク!$D37="","",タスク!$C37)</f>
        <v/>
      </c>
      <c r="C39" s="25" t="str">
        <f aca="false">IF(タスク!$D37="","",タスク!$D37)</f>
        <v/>
      </c>
      <c r="D39" s="25" t="str">
        <f aca="false">IF(タスク!$D37="","",タスク!$E37)</f>
        <v/>
      </c>
      <c r="E39" s="26" t="str">
        <f aca="false">IF(タスク!$D37="","",IF(タスク!$F37="","",タスク!$F37))</f>
        <v/>
      </c>
      <c r="F39" s="26" t="str">
        <f aca="false">IF(タスク!$D37="","",IF(タスク!$G37="","",タスク!$G37))</f>
        <v/>
      </c>
      <c r="G39" s="27" t="str">
        <f aca="false">IF(タスク!$D37="","",IF(タスク!$H37="完了",1,IF(タスク!$I37="",0,タスク!$I37)))</f>
        <v/>
      </c>
      <c r="H39" s="25" t="str">
        <f aca="false">IF(タスク!$D37="","",タスク!$H37)</f>
        <v/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"/>
      <c r="CB39" s="2"/>
      <c r="CC39" s="2"/>
      <c r="CD39" s="2"/>
    </row>
    <row r="40" customFormat="false" ht="15" hidden="false" customHeight="false" outlineLevel="0" collapsed="false">
      <c r="A40" s="25" t="str">
        <f aca="false">IF(タスク!$D38="","",タスク!$A38)</f>
        <v/>
      </c>
      <c r="B40" s="25" t="str">
        <f aca="false">IF(タスク!$D38="","",タスク!$C38)</f>
        <v/>
      </c>
      <c r="C40" s="25" t="str">
        <f aca="false">IF(タスク!$D38="","",タスク!$D38)</f>
        <v/>
      </c>
      <c r="D40" s="25" t="str">
        <f aca="false">IF(タスク!$D38="","",タスク!$E38)</f>
        <v/>
      </c>
      <c r="E40" s="26" t="str">
        <f aca="false">IF(タスク!$D38="","",IF(タスク!$F38="","",タスク!$F38))</f>
        <v/>
      </c>
      <c r="F40" s="26" t="str">
        <f aca="false">IF(タスク!$D38="","",IF(タスク!$G38="","",タスク!$G38))</f>
        <v/>
      </c>
      <c r="G40" s="27" t="str">
        <f aca="false">IF(タスク!$D38="","",IF(タスク!$H38="完了",1,IF(タスク!$I38="",0,タスク!$I38)))</f>
        <v/>
      </c>
      <c r="H40" s="25" t="str">
        <f aca="false">IF(タスク!$D38="","",タスク!$H38)</f>
        <v/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"/>
      <c r="CB40" s="2"/>
      <c r="CC40" s="2"/>
      <c r="CD40" s="2"/>
    </row>
    <row r="41" customFormat="false" ht="15" hidden="false" customHeight="false" outlineLevel="0" collapsed="false">
      <c r="A41" s="25" t="str">
        <f aca="false">IF(タスク!$D39="","",タスク!$A39)</f>
        <v/>
      </c>
      <c r="B41" s="25" t="str">
        <f aca="false">IF(タスク!$D39="","",タスク!$C39)</f>
        <v/>
      </c>
      <c r="C41" s="25" t="str">
        <f aca="false">IF(タスク!$D39="","",タスク!$D39)</f>
        <v/>
      </c>
      <c r="D41" s="25" t="str">
        <f aca="false">IF(タスク!$D39="","",タスク!$E39)</f>
        <v/>
      </c>
      <c r="E41" s="26" t="str">
        <f aca="false">IF(タスク!$D39="","",IF(タスク!$F39="","",タスク!$F39))</f>
        <v/>
      </c>
      <c r="F41" s="26" t="str">
        <f aca="false">IF(タスク!$D39="","",IF(タスク!$G39="","",タスク!$G39))</f>
        <v/>
      </c>
      <c r="G41" s="27" t="str">
        <f aca="false">IF(タスク!$D39="","",IF(タスク!$H39="完了",1,IF(タスク!$I39="",0,タスク!$I39)))</f>
        <v/>
      </c>
      <c r="H41" s="25" t="str">
        <f aca="false">IF(タスク!$D39="","",タスク!$H39)</f>
        <v/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"/>
      <c r="CB41" s="2"/>
      <c r="CC41" s="2"/>
      <c r="CD41" s="2"/>
    </row>
    <row r="42" customFormat="false" ht="15" hidden="false" customHeight="false" outlineLevel="0" collapsed="false">
      <c r="A42" s="25" t="str">
        <f aca="false">IF(タスク!$D40="","",タスク!$A40)</f>
        <v/>
      </c>
      <c r="B42" s="25" t="str">
        <f aca="false">IF(タスク!$D40="","",タスク!$C40)</f>
        <v/>
      </c>
      <c r="C42" s="25" t="str">
        <f aca="false">IF(タスク!$D40="","",タスク!$D40)</f>
        <v/>
      </c>
      <c r="D42" s="25" t="str">
        <f aca="false">IF(タスク!$D40="","",タスク!$E40)</f>
        <v/>
      </c>
      <c r="E42" s="26" t="str">
        <f aca="false">IF(タスク!$D40="","",IF(タスク!$F40="","",タスク!$F40))</f>
        <v/>
      </c>
      <c r="F42" s="26" t="str">
        <f aca="false">IF(タスク!$D40="","",IF(タスク!$G40="","",タスク!$G40))</f>
        <v/>
      </c>
      <c r="G42" s="27" t="str">
        <f aca="false">IF(タスク!$D40="","",IF(タスク!$H40="完了",1,IF(タスク!$I40="",0,タスク!$I40)))</f>
        <v/>
      </c>
      <c r="H42" s="25" t="str">
        <f aca="false">IF(タスク!$D40="","",タスク!$H40)</f>
        <v/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"/>
      <c r="CB42" s="2"/>
      <c r="CC42" s="2"/>
      <c r="CD42" s="2"/>
    </row>
    <row r="43" customFormat="false" ht="15" hidden="false" customHeight="false" outlineLevel="0" collapsed="false">
      <c r="A43" s="25" t="str">
        <f aca="false">IF(タスク!$D41="","",タスク!$A41)</f>
        <v/>
      </c>
      <c r="B43" s="25" t="str">
        <f aca="false">IF(タスク!$D41="","",タスク!$C41)</f>
        <v/>
      </c>
      <c r="C43" s="25" t="str">
        <f aca="false">IF(タスク!$D41="","",タスク!$D41)</f>
        <v/>
      </c>
      <c r="D43" s="25" t="str">
        <f aca="false">IF(タスク!$D41="","",タスク!$E41)</f>
        <v/>
      </c>
      <c r="E43" s="26" t="str">
        <f aca="false">IF(タスク!$D41="","",IF(タスク!$F41="","",タスク!$F41))</f>
        <v/>
      </c>
      <c r="F43" s="26" t="str">
        <f aca="false">IF(タスク!$D41="","",IF(タスク!$G41="","",タスク!$G41))</f>
        <v/>
      </c>
      <c r="G43" s="27" t="str">
        <f aca="false">IF(タスク!$D41="","",IF(タスク!$H41="完了",1,IF(タスク!$I41="",0,タスク!$I41)))</f>
        <v/>
      </c>
      <c r="H43" s="25" t="str">
        <f aca="false">IF(タスク!$D41="","",タスク!$H41)</f>
        <v/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"/>
      <c r="CB43" s="2"/>
      <c r="CC43" s="2"/>
      <c r="CD43" s="2"/>
    </row>
    <row r="44" customFormat="false" ht="15" hidden="false" customHeight="false" outlineLevel="0" collapsed="false">
      <c r="A44" s="25" t="str">
        <f aca="false">IF(タスク!$D42="","",タスク!$A42)</f>
        <v/>
      </c>
      <c r="B44" s="25" t="str">
        <f aca="false">IF(タスク!$D42="","",タスク!$C42)</f>
        <v/>
      </c>
      <c r="C44" s="25" t="str">
        <f aca="false">IF(タスク!$D42="","",タスク!$D42)</f>
        <v/>
      </c>
      <c r="D44" s="25" t="str">
        <f aca="false">IF(タスク!$D42="","",タスク!$E42)</f>
        <v/>
      </c>
      <c r="E44" s="26" t="str">
        <f aca="false">IF(タスク!$D42="","",IF(タスク!$F42="","",タスク!$F42))</f>
        <v/>
      </c>
      <c r="F44" s="26" t="str">
        <f aca="false">IF(タスク!$D42="","",IF(タスク!$G42="","",タスク!$G42))</f>
        <v/>
      </c>
      <c r="G44" s="27" t="str">
        <f aca="false">IF(タスク!$D42="","",IF(タスク!$H42="完了",1,IF(タスク!$I42="",0,タスク!$I42)))</f>
        <v/>
      </c>
      <c r="H44" s="25" t="str">
        <f aca="false">IF(タスク!$D42="","",タスク!$H42)</f>
        <v/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"/>
      <c r="CB44" s="2"/>
      <c r="CC44" s="2"/>
      <c r="CD44" s="2"/>
    </row>
    <row r="45" customFormat="false" ht="15" hidden="false" customHeight="false" outlineLevel="0" collapsed="false">
      <c r="A45" s="25" t="str">
        <f aca="false">IF(タスク!$D43="","",タスク!$A43)</f>
        <v/>
      </c>
      <c r="B45" s="25" t="str">
        <f aca="false">IF(タスク!$D43="","",タスク!$C43)</f>
        <v/>
      </c>
      <c r="C45" s="25" t="str">
        <f aca="false">IF(タスク!$D43="","",タスク!$D43)</f>
        <v/>
      </c>
      <c r="D45" s="25" t="str">
        <f aca="false">IF(タスク!$D43="","",タスク!$E43)</f>
        <v/>
      </c>
      <c r="E45" s="26" t="str">
        <f aca="false">IF(タスク!$D43="","",IF(タスク!$F43="","",タスク!$F43))</f>
        <v/>
      </c>
      <c r="F45" s="26" t="str">
        <f aca="false">IF(タスク!$D43="","",IF(タスク!$G43="","",タスク!$G43))</f>
        <v/>
      </c>
      <c r="G45" s="27" t="str">
        <f aca="false">IF(タスク!$D43="","",IF(タスク!$H43="完了",1,IF(タスク!$I43="",0,タスク!$I43)))</f>
        <v/>
      </c>
      <c r="H45" s="25" t="str">
        <f aca="false">IF(タスク!$D43="","",タスク!$H43)</f>
        <v/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"/>
      <c r="CB45" s="2"/>
      <c r="CC45" s="2"/>
      <c r="CD45" s="2"/>
    </row>
    <row r="46" customFormat="false" ht="15" hidden="false" customHeight="false" outlineLevel="0" collapsed="false">
      <c r="A46" s="25" t="str">
        <f aca="false">IF(タスク!$D44="","",タスク!$A44)</f>
        <v/>
      </c>
      <c r="B46" s="25" t="str">
        <f aca="false">IF(タスク!$D44="","",タスク!$C44)</f>
        <v/>
      </c>
      <c r="C46" s="25" t="str">
        <f aca="false">IF(タスク!$D44="","",タスク!$D44)</f>
        <v/>
      </c>
      <c r="D46" s="25" t="str">
        <f aca="false">IF(タスク!$D44="","",タスク!$E44)</f>
        <v/>
      </c>
      <c r="E46" s="26" t="str">
        <f aca="false">IF(タスク!$D44="","",IF(タスク!$F44="","",タスク!$F44))</f>
        <v/>
      </c>
      <c r="F46" s="26" t="str">
        <f aca="false">IF(タスク!$D44="","",IF(タスク!$G44="","",タスク!$G44))</f>
        <v/>
      </c>
      <c r="G46" s="27" t="str">
        <f aca="false">IF(タスク!$D44="","",IF(タスク!$H44="完了",1,IF(タスク!$I44="",0,タスク!$I44)))</f>
        <v/>
      </c>
      <c r="H46" s="25" t="str">
        <f aca="false">IF(タスク!$D44="","",タスク!$H44)</f>
        <v/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"/>
      <c r="CB46" s="2"/>
      <c r="CC46" s="2"/>
      <c r="CD46" s="2"/>
    </row>
    <row r="47" customFormat="false" ht="15" hidden="false" customHeight="false" outlineLevel="0" collapsed="false">
      <c r="A47" s="25" t="str">
        <f aca="false">IF(タスク!$D45="","",タスク!$A45)</f>
        <v/>
      </c>
      <c r="B47" s="25" t="str">
        <f aca="false">IF(タスク!$D45="","",タスク!$C45)</f>
        <v/>
      </c>
      <c r="C47" s="25" t="str">
        <f aca="false">IF(タスク!$D45="","",タスク!$D45)</f>
        <v/>
      </c>
      <c r="D47" s="25" t="str">
        <f aca="false">IF(タスク!$D45="","",タスク!$E45)</f>
        <v/>
      </c>
      <c r="E47" s="26" t="str">
        <f aca="false">IF(タスク!$D45="","",IF(タスク!$F45="","",タスク!$F45))</f>
        <v/>
      </c>
      <c r="F47" s="26" t="str">
        <f aca="false">IF(タスク!$D45="","",IF(タスク!$G45="","",タスク!$G45))</f>
        <v/>
      </c>
      <c r="G47" s="27" t="str">
        <f aca="false">IF(タスク!$D45="","",IF(タスク!$H45="完了",1,IF(タスク!$I45="",0,タスク!$I45)))</f>
        <v/>
      </c>
      <c r="H47" s="25" t="str">
        <f aca="false">IF(タスク!$D45="","",タスク!$H45)</f>
        <v/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"/>
      <c r="CB47" s="2"/>
      <c r="CC47" s="2"/>
      <c r="CD47" s="2"/>
    </row>
    <row r="48" customFormat="false" ht="15" hidden="false" customHeight="false" outlineLevel="0" collapsed="false">
      <c r="A48" s="25" t="str">
        <f aca="false">IF(タスク!$D46="","",タスク!$A46)</f>
        <v/>
      </c>
      <c r="B48" s="25" t="str">
        <f aca="false">IF(タスク!$D46="","",タスク!$C46)</f>
        <v/>
      </c>
      <c r="C48" s="25" t="str">
        <f aca="false">IF(タスク!$D46="","",タスク!$D46)</f>
        <v/>
      </c>
      <c r="D48" s="25" t="str">
        <f aca="false">IF(タスク!$D46="","",タスク!$E46)</f>
        <v/>
      </c>
      <c r="E48" s="26" t="str">
        <f aca="false">IF(タスク!$D46="","",IF(タスク!$F46="","",タスク!$F46))</f>
        <v/>
      </c>
      <c r="F48" s="26" t="str">
        <f aca="false">IF(タスク!$D46="","",IF(タスク!$G46="","",タスク!$G46))</f>
        <v/>
      </c>
      <c r="G48" s="27" t="str">
        <f aca="false">IF(タスク!$D46="","",IF(タスク!$H46="完了",1,IF(タスク!$I46="",0,タスク!$I46)))</f>
        <v/>
      </c>
      <c r="H48" s="25" t="str">
        <f aca="false">IF(タスク!$D46="","",タスク!$H46)</f>
        <v/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"/>
      <c r="CB48" s="2"/>
      <c r="CC48" s="2"/>
      <c r="CD48" s="2"/>
    </row>
    <row r="49" customFormat="false" ht="15" hidden="false" customHeight="false" outlineLevel="0" collapsed="false">
      <c r="A49" s="25" t="str">
        <f aca="false">IF(タスク!$D47="","",タスク!$A47)</f>
        <v/>
      </c>
      <c r="B49" s="25" t="str">
        <f aca="false">IF(タスク!$D47="","",タスク!$C47)</f>
        <v/>
      </c>
      <c r="C49" s="25" t="str">
        <f aca="false">IF(タスク!$D47="","",タスク!$D47)</f>
        <v/>
      </c>
      <c r="D49" s="25" t="str">
        <f aca="false">IF(タスク!$D47="","",タスク!$E47)</f>
        <v/>
      </c>
      <c r="E49" s="26" t="str">
        <f aca="false">IF(タスク!$D47="","",IF(タスク!$F47="","",タスク!$F47))</f>
        <v/>
      </c>
      <c r="F49" s="26" t="str">
        <f aca="false">IF(タスク!$D47="","",IF(タスク!$G47="","",タスク!$G47))</f>
        <v/>
      </c>
      <c r="G49" s="27" t="str">
        <f aca="false">IF(タスク!$D47="","",IF(タスク!$H47="完了",1,IF(タスク!$I47="",0,タスク!$I47)))</f>
        <v/>
      </c>
      <c r="H49" s="25" t="str">
        <f aca="false">IF(タスク!$D47="","",タスク!$H47)</f>
        <v/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"/>
      <c r="CB49" s="2"/>
      <c r="CC49" s="2"/>
      <c r="CD49" s="2"/>
    </row>
    <row r="50" customFormat="false" ht="15" hidden="false" customHeight="false" outlineLevel="0" collapsed="false">
      <c r="A50" s="25" t="str">
        <f aca="false">IF(タスク!$D48="","",タスク!$A48)</f>
        <v/>
      </c>
      <c r="B50" s="25" t="str">
        <f aca="false">IF(タスク!$D48="","",タスク!$C48)</f>
        <v/>
      </c>
      <c r="C50" s="25" t="str">
        <f aca="false">IF(タスク!$D48="","",タスク!$D48)</f>
        <v/>
      </c>
      <c r="D50" s="25" t="str">
        <f aca="false">IF(タスク!$D48="","",タスク!$E48)</f>
        <v/>
      </c>
      <c r="E50" s="26" t="str">
        <f aca="false">IF(タスク!$D48="","",IF(タスク!$F48="","",タスク!$F48))</f>
        <v/>
      </c>
      <c r="F50" s="26" t="str">
        <f aca="false">IF(タスク!$D48="","",IF(タスク!$G48="","",タスク!$G48))</f>
        <v/>
      </c>
      <c r="G50" s="27" t="str">
        <f aca="false">IF(タスク!$D48="","",IF(タスク!$H48="完了",1,IF(タスク!$I48="",0,タスク!$I48)))</f>
        <v/>
      </c>
      <c r="H50" s="25" t="str">
        <f aca="false">IF(タスク!$D48="","",タスク!$H48)</f>
        <v/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"/>
      <c r="CB50" s="2"/>
      <c r="CC50" s="2"/>
      <c r="CD50" s="2"/>
    </row>
    <row r="51" customFormat="false" ht="15" hidden="false" customHeight="false" outlineLevel="0" collapsed="false">
      <c r="A51" s="25" t="str">
        <f aca="false">IF(タスク!$D49="","",タスク!$A49)</f>
        <v/>
      </c>
      <c r="B51" s="25" t="str">
        <f aca="false">IF(タスク!$D49="","",タスク!$C49)</f>
        <v/>
      </c>
      <c r="C51" s="25" t="str">
        <f aca="false">IF(タスク!$D49="","",タスク!$D49)</f>
        <v/>
      </c>
      <c r="D51" s="25" t="str">
        <f aca="false">IF(タスク!$D49="","",タスク!$E49)</f>
        <v/>
      </c>
      <c r="E51" s="26" t="str">
        <f aca="false">IF(タスク!$D49="","",IF(タスク!$F49="","",タスク!$F49))</f>
        <v/>
      </c>
      <c r="F51" s="26" t="str">
        <f aca="false">IF(タスク!$D49="","",IF(タスク!$G49="","",タスク!$G49))</f>
        <v/>
      </c>
      <c r="G51" s="27" t="str">
        <f aca="false">IF(タスク!$D49="","",IF(タスク!$H49="完了",1,IF(タスク!$I49="",0,タスク!$I49)))</f>
        <v/>
      </c>
      <c r="H51" s="25" t="str">
        <f aca="false">IF(タスク!$D49="","",タスク!$H49)</f>
        <v/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"/>
      <c r="CB51" s="2"/>
      <c r="CC51" s="2"/>
      <c r="CD51" s="2"/>
    </row>
    <row r="52" customFormat="false" ht="15" hidden="false" customHeight="false" outlineLevel="0" collapsed="false">
      <c r="A52" s="25" t="str">
        <f aca="false">IF(タスク!$D50="","",タスク!$A50)</f>
        <v/>
      </c>
      <c r="B52" s="25" t="str">
        <f aca="false">IF(タスク!$D50="","",タスク!$C50)</f>
        <v/>
      </c>
      <c r="C52" s="25" t="str">
        <f aca="false">IF(タスク!$D50="","",タスク!$D50)</f>
        <v/>
      </c>
      <c r="D52" s="25" t="str">
        <f aca="false">IF(タスク!$D50="","",タスク!$E50)</f>
        <v/>
      </c>
      <c r="E52" s="26" t="str">
        <f aca="false">IF(タスク!$D50="","",IF(タスク!$F50="","",タスク!$F50))</f>
        <v/>
      </c>
      <c r="F52" s="26" t="str">
        <f aca="false">IF(タスク!$D50="","",IF(タスク!$G50="","",タスク!$G50))</f>
        <v/>
      </c>
      <c r="G52" s="27" t="str">
        <f aca="false">IF(タスク!$D50="","",IF(タスク!$H50="完了",1,IF(タスク!$I50="",0,タスク!$I50)))</f>
        <v/>
      </c>
      <c r="H52" s="25" t="str">
        <f aca="false">IF(タスク!$D50="","",タスク!$H50)</f>
        <v/>
      </c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"/>
      <c r="CB52" s="2"/>
      <c r="CC52" s="2"/>
      <c r="CD52" s="2"/>
    </row>
    <row r="53" customFormat="false" ht="15" hidden="false" customHeight="false" outlineLevel="0" collapsed="false">
      <c r="A53" s="25" t="str">
        <f aca="false">IF(タスク!$D51="","",タスク!$A51)</f>
        <v/>
      </c>
      <c r="B53" s="25" t="str">
        <f aca="false">IF(タスク!$D51="","",タスク!$C51)</f>
        <v/>
      </c>
      <c r="C53" s="25" t="str">
        <f aca="false">IF(タスク!$D51="","",タスク!$D51)</f>
        <v/>
      </c>
      <c r="D53" s="25" t="str">
        <f aca="false">IF(タスク!$D51="","",タスク!$E51)</f>
        <v/>
      </c>
      <c r="E53" s="26" t="str">
        <f aca="false">IF(タスク!$D51="","",IF(タスク!$F51="","",タスク!$F51))</f>
        <v/>
      </c>
      <c r="F53" s="26" t="str">
        <f aca="false">IF(タスク!$D51="","",IF(タスク!$G51="","",タスク!$G51))</f>
        <v/>
      </c>
      <c r="G53" s="27" t="str">
        <f aca="false">IF(タスク!$D51="","",IF(タスク!$H51="完了",1,IF(タスク!$I51="",0,タスク!$I51)))</f>
        <v/>
      </c>
      <c r="H53" s="25" t="str">
        <f aca="false">IF(タスク!$D51="","",タスク!$H51)</f>
        <v/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"/>
      <c r="CB53" s="2"/>
      <c r="CC53" s="2"/>
      <c r="CD53" s="2"/>
    </row>
    <row r="54" customFormat="false" ht="15" hidden="false" customHeight="false" outlineLevel="0" collapsed="false">
      <c r="A54" s="25" t="str">
        <f aca="false">IF(タスク!$D52="","",タスク!$A52)</f>
        <v/>
      </c>
      <c r="B54" s="25" t="str">
        <f aca="false">IF(タスク!$D52="","",タスク!$C52)</f>
        <v/>
      </c>
      <c r="C54" s="25" t="str">
        <f aca="false">IF(タスク!$D52="","",タスク!$D52)</f>
        <v/>
      </c>
      <c r="D54" s="25" t="str">
        <f aca="false">IF(タスク!$D52="","",タスク!$E52)</f>
        <v/>
      </c>
      <c r="E54" s="26" t="str">
        <f aca="false">IF(タスク!$D52="","",IF(タスク!$F52="","",タスク!$F52))</f>
        <v/>
      </c>
      <c r="F54" s="26" t="str">
        <f aca="false">IF(タスク!$D52="","",IF(タスク!$G52="","",タスク!$G52))</f>
        <v/>
      </c>
      <c r="G54" s="27" t="str">
        <f aca="false">IF(タスク!$D52="","",IF(タスク!$H52="完了",1,IF(タスク!$I52="",0,タスク!$I52)))</f>
        <v/>
      </c>
      <c r="H54" s="25" t="str">
        <f aca="false">IF(タスク!$D52="","",タスク!$H52)</f>
        <v/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"/>
      <c r="CB54" s="2"/>
      <c r="CC54" s="2"/>
      <c r="CD54" s="2"/>
    </row>
    <row r="55" customFormat="false" ht="15" hidden="false" customHeight="false" outlineLevel="0" collapsed="false">
      <c r="A55" s="25" t="str">
        <f aca="false">IF(タスク!$D53="","",タスク!$A53)</f>
        <v/>
      </c>
      <c r="B55" s="25" t="str">
        <f aca="false">IF(タスク!$D53="","",タスク!$C53)</f>
        <v/>
      </c>
      <c r="C55" s="25" t="str">
        <f aca="false">IF(タスク!$D53="","",タスク!$D53)</f>
        <v/>
      </c>
      <c r="D55" s="25" t="str">
        <f aca="false">IF(タスク!$D53="","",タスク!$E53)</f>
        <v/>
      </c>
      <c r="E55" s="26" t="str">
        <f aca="false">IF(タスク!$D53="","",IF(タスク!$F53="","",タスク!$F53))</f>
        <v/>
      </c>
      <c r="F55" s="26" t="str">
        <f aca="false">IF(タスク!$D53="","",IF(タスク!$G53="","",タスク!$G53))</f>
        <v/>
      </c>
      <c r="G55" s="27" t="str">
        <f aca="false">IF(タスク!$D53="","",IF(タスク!$H53="完了",1,IF(タスク!$I53="",0,タスク!$I53)))</f>
        <v/>
      </c>
      <c r="H55" s="25" t="str">
        <f aca="false">IF(タスク!$D53="","",タスク!$H53)</f>
        <v/>
      </c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"/>
      <c r="CB55" s="2"/>
      <c r="CC55" s="2"/>
      <c r="CD55" s="2"/>
    </row>
    <row r="56" customFormat="false" ht="15" hidden="false" customHeight="false" outlineLevel="0" collapsed="false">
      <c r="A56" s="25" t="str">
        <f aca="false">IF(タスク!$D54="","",タスク!$A54)</f>
        <v/>
      </c>
      <c r="B56" s="25" t="str">
        <f aca="false">IF(タスク!$D54="","",タスク!$C54)</f>
        <v/>
      </c>
      <c r="C56" s="25" t="str">
        <f aca="false">IF(タスク!$D54="","",タスク!$D54)</f>
        <v/>
      </c>
      <c r="D56" s="25" t="str">
        <f aca="false">IF(タスク!$D54="","",タスク!$E54)</f>
        <v/>
      </c>
      <c r="E56" s="26" t="str">
        <f aca="false">IF(タスク!$D54="","",IF(タスク!$F54="","",タスク!$F54))</f>
        <v/>
      </c>
      <c r="F56" s="26" t="str">
        <f aca="false">IF(タスク!$D54="","",IF(タスク!$G54="","",タスク!$G54))</f>
        <v/>
      </c>
      <c r="G56" s="27" t="str">
        <f aca="false">IF(タスク!$D54="","",IF(タスク!$H54="完了",1,IF(タスク!$I54="",0,タスク!$I54)))</f>
        <v/>
      </c>
      <c r="H56" s="25" t="str">
        <f aca="false">IF(タスク!$D54="","",タスク!$H54)</f>
        <v/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"/>
      <c r="CB56" s="2"/>
      <c r="CC56" s="2"/>
      <c r="CD56" s="2"/>
    </row>
    <row r="57" customFormat="false" ht="15" hidden="false" customHeight="false" outlineLevel="0" collapsed="false">
      <c r="A57" s="25" t="str">
        <f aca="false">IF(タスク!$D55="","",タスク!$A55)</f>
        <v/>
      </c>
      <c r="B57" s="25" t="str">
        <f aca="false">IF(タスク!$D55="","",タスク!$C55)</f>
        <v/>
      </c>
      <c r="C57" s="25" t="str">
        <f aca="false">IF(タスク!$D55="","",タスク!$D55)</f>
        <v/>
      </c>
      <c r="D57" s="25" t="str">
        <f aca="false">IF(タスク!$D55="","",タスク!$E55)</f>
        <v/>
      </c>
      <c r="E57" s="26" t="str">
        <f aca="false">IF(タスク!$D55="","",IF(タスク!$F55="","",タスク!$F55))</f>
        <v/>
      </c>
      <c r="F57" s="26" t="str">
        <f aca="false">IF(タスク!$D55="","",IF(タスク!$G55="","",タスク!$G55))</f>
        <v/>
      </c>
      <c r="G57" s="27" t="str">
        <f aca="false">IF(タスク!$D55="","",IF(タスク!$H55="完了",1,IF(タスク!$I55="",0,タスク!$I55)))</f>
        <v/>
      </c>
      <c r="H57" s="25" t="str">
        <f aca="false">IF(タスク!$D55="","",タスク!$H55)</f>
        <v/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"/>
      <c r="CB57" s="2"/>
      <c r="CC57" s="2"/>
      <c r="CD57" s="2"/>
    </row>
    <row r="58" customFormat="false" ht="15" hidden="false" customHeight="false" outlineLevel="0" collapsed="false">
      <c r="A58" s="25" t="str">
        <f aca="false">IF(タスク!$D56="","",タスク!$A56)</f>
        <v/>
      </c>
      <c r="B58" s="25" t="str">
        <f aca="false">IF(タスク!$D56="","",タスク!$C56)</f>
        <v/>
      </c>
      <c r="C58" s="25" t="str">
        <f aca="false">IF(タスク!$D56="","",タスク!$D56)</f>
        <v/>
      </c>
      <c r="D58" s="25" t="str">
        <f aca="false">IF(タスク!$D56="","",タスク!$E56)</f>
        <v/>
      </c>
      <c r="E58" s="26" t="str">
        <f aca="false">IF(タスク!$D56="","",IF(タスク!$F56="","",タスク!$F56))</f>
        <v/>
      </c>
      <c r="F58" s="26" t="str">
        <f aca="false">IF(タスク!$D56="","",IF(タスク!$G56="","",タスク!$G56))</f>
        <v/>
      </c>
      <c r="G58" s="27" t="str">
        <f aca="false">IF(タスク!$D56="","",IF(タスク!$H56="完了",1,IF(タスク!$I56="",0,タスク!$I56)))</f>
        <v/>
      </c>
      <c r="H58" s="25" t="str">
        <f aca="false">IF(タスク!$D56="","",タスク!$H56)</f>
        <v/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"/>
      <c r="CB58" s="2"/>
      <c r="CC58" s="2"/>
      <c r="CD58" s="2"/>
    </row>
    <row r="59" customFormat="false" ht="15" hidden="false" customHeight="false" outlineLevel="0" collapsed="false">
      <c r="A59" s="25" t="str">
        <f aca="false">IF(タスク!$D57="","",タスク!$A57)</f>
        <v/>
      </c>
      <c r="B59" s="25" t="str">
        <f aca="false">IF(タスク!$D57="","",タスク!$C57)</f>
        <v/>
      </c>
      <c r="C59" s="25" t="str">
        <f aca="false">IF(タスク!$D57="","",タスク!$D57)</f>
        <v/>
      </c>
      <c r="D59" s="25" t="str">
        <f aca="false">IF(タスク!$D57="","",タスク!$E57)</f>
        <v/>
      </c>
      <c r="E59" s="26" t="str">
        <f aca="false">IF(タスク!$D57="","",IF(タスク!$F57="","",タスク!$F57))</f>
        <v/>
      </c>
      <c r="F59" s="26" t="str">
        <f aca="false">IF(タスク!$D57="","",IF(タスク!$G57="","",タスク!$G57))</f>
        <v/>
      </c>
      <c r="G59" s="27" t="str">
        <f aca="false">IF(タスク!$D57="","",IF(タスク!$H57="完了",1,IF(タスク!$I57="",0,タスク!$I57)))</f>
        <v/>
      </c>
      <c r="H59" s="25" t="str">
        <f aca="false">IF(タスク!$D57="","",タスク!$H57)</f>
        <v/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"/>
      <c r="CB59" s="2"/>
      <c r="CC59" s="2"/>
      <c r="CD59" s="2"/>
    </row>
    <row r="60" customFormat="false" ht="15" hidden="false" customHeight="false" outlineLevel="0" collapsed="false">
      <c r="A60" s="25" t="str">
        <f aca="false">IF(タスク!$D58="","",タスク!$A58)</f>
        <v/>
      </c>
      <c r="B60" s="25" t="str">
        <f aca="false">IF(タスク!$D58="","",タスク!$C58)</f>
        <v/>
      </c>
      <c r="C60" s="25" t="str">
        <f aca="false">IF(タスク!$D58="","",タスク!$D58)</f>
        <v/>
      </c>
      <c r="D60" s="25" t="str">
        <f aca="false">IF(タスク!$D58="","",タスク!$E58)</f>
        <v/>
      </c>
      <c r="E60" s="26" t="str">
        <f aca="false">IF(タスク!$D58="","",IF(タスク!$F58="","",タスク!$F58))</f>
        <v/>
      </c>
      <c r="F60" s="26" t="str">
        <f aca="false">IF(タスク!$D58="","",IF(タスク!$G58="","",タスク!$G58))</f>
        <v/>
      </c>
      <c r="G60" s="27" t="str">
        <f aca="false">IF(タスク!$D58="","",IF(タスク!$H58="完了",1,IF(タスク!$I58="",0,タスク!$I58)))</f>
        <v/>
      </c>
      <c r="H60" s="25" t="str">
        <f aca="false">IF(タスク!$D58="","",タスク!$H58)</f>
        <v/>
      </c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"/>
      <c r="CB60" s="2"/>
      <c r="CC60" s="2"/>
      <c r="CD60" s="2"/>
    </row>
    <row r="61" customFormat="false" ht="15" hidden="false" customHeight="false" outlineLevel="0" collapsed="false">
      <c r="A61" s="25" t="str">
        <f aca="false">IF(タスク!$D59="","",タスク!$A59)</f>
        <v/>
      </c>
      <c r="B61" s="25" t="str">
        <f aca="false">IF(タスク!$D59="","",タスク!$C59)</f>
        <v/>
      </c>
      <c r="C61" s="25" t="str">
        <f aca="false">IF(タスク!$D59="","",タスク!$D59)</f>
        <v/>
      </c>
      <c r="D61" s="25" t="str">
        <f aca="false">IF(タスク!$D59="","",タスク!$E59)</f>
        <v/>
      </c>
      <c r="E61" s="26" t="str">
        <f aca="false">IF(タスク!$D59="","",IF(タスク!$F59="","",タスク!$F59))</f>
        <v/>
      </c>
      <c r="F61" s="26" t="str">
        <f aca="false">IF(タスク!$D59="","",IF(タスク!$G59="","",タスク!$G59))</f>
        <v/>
      </c>
      <c r="G61" s="27" t="str">
        <f aca="false">IF(タスク!$D59="","",IF(タスク!$H59="完了",1,IF(タスク!$I59="",0,タスク!$I59)))</f>
        <v/>
      </c>
      <c r="H61" s="25" t="str">
        <f aca="false">IF(タスク!$D59="","",タスク!$H59)</f>
        <v/>
      </c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"/>
      <c r="CB61" s="2"/>
      <c r="CC61" s="2"/>
      <c r="CD61" s="2"/>
    </row>
    <row r="62" customFormat="false" ht="15" hidden="false" customHeight="false" outlineLevel="0" collapsed="false">
      <c r="A62" s="25" t="str">
        <f aca="false">IF(タスク!$D60="","",タスク!$A60)</f>
        <v/>
      </c>
      <c r="B62" s="25" t="str">
        <f aca="false">IF(タスク!$D60="","",タスク!$C60)</f>
        <v/>
      </c>
      <c r="C62" s="25" t="str">
        <f aca="false">IF(タスク!$D60="","",タスク!$D60)</f>
        <v/>
      </c>
      <c r="D62" s="25" t="str">
        <f aca="false">IF(タスク!$D60="","",タスク!$E60)</f>
        <v/>
      </c>
      <c r="E62" s="26" t="str">
        <f aca="false">IF(タスク!$D60="","",IF(タスク!$F60="","",タスク!$F60))</f>
        <v/>
      </c>
      <c r="F62" s="26" t="str">
        <f aca="false">IF(タスク!$D60="","",IF(タスク!$G60="","",タスク!$G60))</f>
        <v/>
      </c>
      <c r="G62" s="27" t="str">
        <f aca="false">IF(タスク!$D60="","",IF(タスク!$H60="完了",1,IF(タスク!$I60="",0,タスク!$I60)))</f>
        <v/>
      </c>
      <c r="H62" s="25" t="str">
        <f aca="false">IF(タスク!$D60="","",タスク!$H60)</f>
        <v/>
      </c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"/>
      <c r="CB62" s="2"/>
      <c r="CC62" s="2"/>
      <c r="CD62" s="2"/>
    </row>
    <row r="63" customFormat="false" ht="15" hidden="false" customHeight="false" outlineLevel="0" collapsed="false">
      <c r="A63" s="25" t="str">
        <f aca="false">IF(タスク!$D61="","",タスク!$A61)</f>
        <v/>
      </c>
      <c r="B63" s="25" t="str">
        <f aca="false">IF(タスク!$D61="","",タスク!$C61)</f>
        <v/>
      </c>
      <c r="C63" s="25" t="str">
        <f aca="false">IF(タスク!$D61="","",タスク!$D61)</f>
        <v/>
      </c>
      <c r="D63" s="25" t="str">
        <f aca="false">IF(タスク!$D61="","",タスク!$E61)</f>
        <v/>
      </c>
      <c r="E63" s="26" t="str">
        <f aca="false">IF(タスク!$D61="","",IF(タスク!$F61="","",タスク!$F61))</f>
        <v/>
      </c>
      <c r="F63" s="26" t="str">
        <f aca="false">IF(タスク!$D61="","",IF(タスク!$G61="","",タスク!$G61))</f>
        <v/>
      </c>
      <c r="G63" s="27" t="str">
        <f aca="false">IF(タスク!$D61="","",IF(タスク!$H61="完了",1,IF(タスク!$I61="",0,タスク!$I61)))</f>
        <v/>
      </c>
      <c r="H63" s="25" t="str">
        <f aca="false">IF(タスク!$D61="","",タスク!$H61)</f>
        <v/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"/>
      <c r="CB63" s="2"/>
      <c r="CC63" s="2"/>
      <c r="CD63" s="2"/>
    </row>
    <row r="64" customFormat="false" ht="15" hidden="false" customHeight="false" outlineLevel="0" collapsed="false">
      <c r="A64" s="25" t="str">
        <f aca="false">IF(タスク!$D62="","",タスク!$A62)</f>
        <v/>
      </c>
      <c r="B64" s="25" t="str">
        <f aca="false">IF(タスク!$D62="","",タスク!$C62)</f>
        <v/>
      </c>
      <c r="C64" s="25" t="str">
        <f aca="false">IF(タスク!$D62="","",タスク!$D62)</f>
        <v/>
      </c>
      <c r="D64" s="25" t="str">
        <f aca="false">IF(タスク!$D62="","",タスク!$E62)</f>
        <v/>
      </c>
      <c r="E64" s="26" t="str">
        <f aca="false">IF(タスク!$D62="","",IF(タスク!$F62="","",タスク!$F62))</f>
        <v/>
      </c>
      <c r="F64" s="26" t="str">
        <f aca="false">IF(タスク!$D62="","",IF(タスク!$G62="","",タスク!$G62))</f>
        <v/>
      </c>
      <c r="G64" s="27" t="str">
        <f aca="false">IF(タスク!$D62="","",IF(タスク!$H62="完了",1,IF(タスク!$I62="",0,タスク!$I62)))</f>
        <v/>
      </c>
      <c r="H64" s="25" t="str">
        <f aca="false">IF(タスク!$D62="","",タスク!$H62)</f>
        <v/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"/>
      <c r="CB64" s="2"/>
      <c r="CC64" s="2"/>
      <c r="CD64" s="2"/>
    </row>
    <row r="65" customFormat="false" ht="15" hidden="false" customHeight="false" outlineLevel="0" collapsed="false">
      <c r="A65" s="25" t="str">
        <f aca="false">IF(タスク!$D63="","",タスク!$A63)</f>
        <v/>
      </c>
      <c r="B65" s="25" t="str">
        <f aca="false">IF(タスク!$D63="","",タスク!$C63)</f>
        <v/>
      </c>
      <c r="C65" s="25" t="str">
        <f aca="false">IF(タスク!$D63="","",タスク!$D63)</f>
        <v/>
      </c>
      <c r="D65" s="25" t="str">
        <f aca="false">IF(タスク!$D63="","",タスク!$E63)</f>
        <v/>
      </c>
      <c r="E65" s="26" t="str">
        <f aca="false">IF(タスク!$D63="","",IF(タスク!$F63="","",タスク!$F63))</f>
        <v/>
      </c>
      <c r="F65" s="26" t="str">
        <f aca="false">IF(タスク!$D63="","",IF(タスク!$G63="","",タスク!$G63))</f>
        <v/>
      </c>
      <c r="G65" s="27" t="str">
        <f aca="false">IF(タスク!$D63="","",IF(タスク!$H63="完了",1,IF(タスク!$I63="",0,タスク!$I63)))</f>
        <v/>
      </c>
      <c r="H65" s="25" t="str">
        <f aca="false">IF(タスク!$D63="","",タスク!$H63)</f>
        <v/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"/>
      <c r="CB65" s="2"/>
      <c r="CC65" s="2"/>
      <c r="CD65" s="2"/>
    </row>
    <row r="66" customFormat="false" ht="15" hidden="false" customHeight="false" outlineLevel="0" collapsed="false">
      <c r="A66" s="25" t="str">
        <f aca="false">IF(タスク!$D64="","",タスク!$A64)</f>
        <v/>
      </c>
      <c r="B66" s="25" t="str">
        <f aca="false">IF(タスク!$D64="","",タスク!$C64)</f>
        <v/>
      </c>
      <c r="C66" s="25" t="str">
        <f aca="false">IF(タスク!$D64="","",タスク!$D64)</f>
        <v/>
      </c>
      <c r="D66" s="25" t="str">
        <f aca="false">IF(タスク!$D64="","",タスク!$E64)</f>
        <v/>
      </c>
      <c r="E66" s="26" t="str">
        <f aca="false">IF(タスク!$D64="","",IF(タスク!$F64="","",タスク!$F64))</f>
        <v/>
      </c>
      <c r="F66" s="26" t="str">
        <f aca="false">IF(タスク!$D64="","",IF(タスク!$G64="","",タスク!$G64))</f>
        <v/>
      </c>
      <c r="G66" s="27" t="str">
        <f aca="false">IF(タスク!$D64="","",IF(タスク!$H64="完了",1,IF(タスク!$I64="",0,タスク!$I64)))</f>
        <v/>
      </c>
      <c r="H66" s="25" t="str">
        <f aca="false">IF(タスク!$D64="","",タスク!$H64)</f>
        <v/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"/>
      <c r="CB66" s="2"/>
      <c r="CC66" s="2"/>
      <c r="CD66" s="2"/>
    </row>
    <row r="67" customFormat="false" ht="15" hidden="false" customHeight="false" outlineLevel="0" collapsed="false">
      <c r="A67" s="25" t="str">
        <f aca="false">IF(タスク!$D65="","",タスク!$A65)</f>
        <v/>
      </c>
      <c r="B67" s="25" t="str">
        <f aca="false">IF(タスク!$D65="","",タスク!$C65)</f>
        <v/>
      </c>
      <c r="C67" s="25" t="str">
        <f aca="false">IF(タスク!$D65="","",タスク!$D65)</f>
        <v/>
      </c>
      <c r="D67" s="25" t="str">
        <f aca="false">IF(タスク!$D65="","",タスク!$E65)</f>
        <v/>
      </c>
      <c r="E67" s="26" t="str">
        <f aca="false">IF(タスク!$D65="","",IF(タスク!$F65="","",タスク!$F65))</f>
        <v/>
      </c>
      <c r="F67" s="26" t="str">
        <f aca="false">IF(タスク!$D65="","",IF(タスク!$G65="","",タスク!$G65))</f>
        <v/>
      </c>
      <c r="G67" s="27" t="str">
        <f aca="false">IF(タスク!$D65="","",IF(タスク!$H65="完了",1,IF(タスク!$I65="",0,タスク!$I65)))</f>
        <v/>
      </c>
      <c r="H67" s="25" t="str">
        <f aca="false">IF(タスク!$D65="","",タスク!$H65)</f>
        <v/>
      </c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"/>
      <c r="CB67" s="2"/>
      <c r="CC67" s="2"/>
      <c r="CD67" s="2"/>
    </row>
    <row r="68" customFormat="false" ht="15" hidden="false" customHeight="false" outlineLevel="0" collapsed="false">
      <c r="A68" s="25" t="str">
        <f aca="false">IF(タスク!$D66="","",タスク!$A66)</f>
        <v/>
      </c>
      <c r="B68" s="25" t="str">
        <f aca="false">IF(タスク!$D66="","",タスク!$C66)</f>
        <v/>
      </c>
      <c r="C68" s="25" t="str">
        <f aca="false">IF(タスク!$D66="","",タスク!$D66)</f>
        <v/>
      </c>
      <c r="D68" s="25" t="str">
        <f aca="false">IF(タスク!$D66="","",タスク!$E66)</f>
        <v/>
      </c>
      <c r="E68" s="26" t="str">
        <f aca="false">IF(タスク!$D66="","",IF(タスク!$F66="","",タスク!$F66))</f>
        <v/>
      </c>
      <c r="F68" s="26" t="str">
        <f aca="false">IF(タスク!$D66="","",IF(タスク!$G66="","",タスク!$G66))</f>
        <v/>
      </c>
      <c r="G68" s="27" t="str">
        <f aca="false">IF(タスク!$D66="","",IF(タスク!$H66="完了",1,IF(タスク!$I66="",0,タスク!$I66)))</f>
        <v/>
      </c>
      <c r="H68" s="25" t="str">
        <f aca="false">IF(タスク!$D66="","",タスク!$H66)</f>
        <v/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"/>
      <c r="CB68" s="2"/>
      <c r="CC68" s="2"/>
      <c r="CD68" s="2"/>
    </row>
    <row r="69" customFormat="false" ht="15" hidden="false" customHeight="false" outlineLevel="0" collapsed="false">
      <c r="A69" s="25" t="str">
        <f aca="false">IF(タスク!$D67="","",タスク!$A67)</f>
        <v/>
      </c>
      <c r="B69" s="25" t="str">
        <f aca="false">IF(タスク!$D67="","",タスク!$C67)</f>
        <v/>
      </c>
      <c r="C69" s="25" t="str">
        <f aca="false">IF(タスク!$D67="","",タスク!$D67)</f>
        <v/>
      </c>
      <c r="D69" s="25" t="str">
        <f aca="false">IF(タスク!$D67="","",タスク!$E67)</f>
        <v/>
      </c>
      <c r="E69" s="26" t="str">
        <f aca="false">IF(タスク!$D67="","",IF(タスク!$F67="","",タスク!$F67))</f>
        <v/>
      </c>
      <c r="F69" s="26" t="str">
        <f aca="false">IF(タスク!$D67="","",IF(タスク!$G67="","",タスク!$G67))</f>
        <v/>
      </c>
      <c r="G69" s="27" t="str">
        <f aca="false">IF(タスク!$D67="","",IF(タスク!$H67="完了",1,IF(タスク!$I67="",0,タスク!$I67)))</f>
        <v/>
      </c>
      <c r="H69" s="25" t="str">
        <f aca="false">IF(タスク!$D67="","",タスク!$H67)</f>
        <v/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"/>
      <c r="CB69" s="2"/>
      <c r="CC69" s="2"/>
      <c r="CD69" s="2"/>
    </row>
    <row r="70" customFormat="false" ht="15" hidden="false" customHeight="false" outlineLevel="0" collapsed="false">
      <c r="A70" s="25" t="str">
        <f aca="false">IF(タスク!$D68="","",タスク!$A68)</f>
        <v/>
      </c>
      <c r="B70" s="25" t="str">
        <f aca="false">IF(タスク!$D68="","",タスク!$C68)</f>
        <v/>
      </c>
      <c r="C70" s="25" t="str">
        <f aca="false">IF(タスク!$D68="","",タスク!$D68)</f>
        <v/>
      </c>
      <c r="D70" s="25" t="str">
        <f aca="false">IF(タスク!$D68="","",タスク!$E68)</f>
        <v/>
      </c>
      <c r="E70" s="26" t="str">
        <f aca="false">IF(タスク!$D68="","",IF(タスク!$F68="","",タスク!$F68))</f>
        <v/>
      </c>
      <c r="F70" s="26" t="str">
        <f aca="false">IF(タスク!$D68="","",IF(タスク!$G68="","",タスク!$G68))</f>
        <v/>
      </c>
      <c r="G70" s="27" t="str">
        <f aca="false">IF(タスク!$D68="","",IF(タスク!$H68="完了",1,IF(タスク!$I68="",0,タスク!$I68)))</f>
        <v/>
      </c>
      <c r="H70" s="25" t="str">
        <f aca="false">IF(タスク!$D68="","",タスク!$H68)</f>
        <v/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"/>
      <c r="CB70" s="2"/>
      <c r="CC70" s="2"/>
      <c r="CD70" s="2"/>
    </row>
    <row r="71" customFormat="false" ht="15" hidden="false" customHeight="false" outlineLevel="0" collapsed="false">
      <c r="A71" s="25" t="str">
        <f aca="false">IF(タスク!$D69="","",タスク!$A69)</f>
        <v/>
      </c>
      <c r="B71" s="25" t="str">
        <f aca="false">IF(タスク!$D69="","",タスク!$C69)</f>
        <v/>
      </c>
      <c r="C71" s="25" t="str">
        <f aca="false">IF(タスク!$D69="","",タスク!$D69)</f>
        <v/>
      </c>
      <c r="D71" s="25" t="str">
        <f aca="false">IF(タスク!$D69="","",タスク!$E69)</f>
        <v/>
      </c>
      <c r="E71" s="26" t="str">
        <f aca="false">IF(タスク!$D69="","",IF(タスク!$F69="","",タスク!$F69))</f>
        <v/>
      </c>
      <c r="F71" s="26" t="str">
        <f aca="false">IF(タスク!$D69="","",IF(タスク!$G69="","",タスク!$G69))</f>
        <v/>
      </c>
      <c r="G71" s="27" t="str">
        <f aca="false">IF(タスク!$D69="","",IF(タスク!$H69="完了",1,IF(タスク!$I69="",0,タスク!$I69)))</f>
        <v/>
      </c>
      <c r="H71" s="25" t="str">
        <f aca="false">IF(タスク!$D69="","",タスク!$H69)</f>
        <v/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"/>
      <c r="CB71" s="2"/>
      <c r="CC71" s="2"/>
      <c r="CD71" s="2"/>
    </row>
    <row r="72" customFormat="false" ht="15" hidden="false" customHeight="false" outlineLevel="0" collapsed="false">
      <c r="A72" s="25" t="str">
        <f aca="false">IF(タスク!$D70="","",タスク!$A70)</f>
        <v/>
      </c>
      <c r="B72" s="25" t="str">
        <f aca="false">IF(タスク!$D70="","",タスク!$C70)</f>
        <v/>
      </c>
      <c r="C72" s="25" t="str">
        <f aca="false">IF(タスク!$D70="","",タスク!$D70)</f>
        <v/>
      </c>
      <c r="D72" s="25" t="str">
        <f aca="false">IF(タスク!$D70="","",タスク!$E70)</f>
        <v/>
      </c>
      <c r="E72" s="26" t="str">
        <f aca="false">IF(タスク!$D70="","",IF(タスク!$F70="","",タスク!$F70))</f>
        <v/>
      </c>
      <c r="F72" s="26" t="str">
        <f aca="false">IF(タスク!$D70="","",IF(タスク!$G70="","",タスク!$G70))</f>
        <v/>
      </c>
      <c r="G72" s="27" t="str">
        <f aca="false">IF(タスク!$D70="","",IF(タスク!$H70="完了",1,IF(タスク!$I70="",0,タスク!$I70)))</f>
        <v/>
      </c>
      <c r="H72" s="25" t="str">
        <f aca="false">IF(タスク!$D70="","",タスク!$H70)</f>
        <v/>
      </c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"/>
      <c r="CB72" s="2"/>
      <c r="CC72" s="2"/>
      <c r="CD72" s="2"/>
    </row>
    <row r="73" customFormat="false" ht="15" hidden="false" customHeight="false" outlineLevel="0" collapsed="false">
      <c r="A73" s="25" t="str">
        <f aca="false">IF(タスク!$D71="","",タスク!$A71)</f>
        <v/>
      </c>
      <c r="B73" s="25" t="str">
        <f aca="false">IF(タスク!$D71="","",タスク!$C71)</f>
        <v/>
      </c>
      <c r="C73" s="25" t="str">
        <f aca="false">IF(タスク!$D71="","",タスク!$D71)</f>
        <v/>
      </c>
      <c r="D73" s="25" t="str">
        <f aca="false">IF(タスク!$D71="","",タスク!$E71)</f>
        <v/>
      </c>
      <c r="E73" s="26" t="str">
        <f aca="false">IF(タスク!$D71="","",IF(タスク!$F71="","",タスク!$F71))</f>
        <v/>
      </c>
      <c r="F73" s="26" t="str">
        <f aca="false">IF(タスク!$D71="","",IF(タスク!$G71="","",タスク!$G71))</f>
        <v/>
      </c>
      <c r="G73" s="27" t="str">
        <f aca="false">IF(タスク!$D71="","",IF(タスク!$H71="完了",1,IF(タスク!$I71="",0,タスク!$I71)))</f>
        <v/>
      </c>
      <c r="H73" s="25" t="str">
        <f aca="false">IF(タスク!$D71="","",タスク!$H71)</f>
        <v/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"/>
      <c r="CB73" s="2"/>
      <c r="CC73" s="2"/>
      <c r="CD73" s="2"/>
    </row>
    <row r="74" customFormat="false" ht="15" hidden="false" customHeight="false" outlineLevel="0" collapsed="false">
      <c r="A74" s="25" t="str">
        <f aca="false">IF(タスク!$D72="","",タスク!$A72)</f>
        <v/>
      </c>
      <c r="B74" s="25" t="str">
        <f aca="false">IF(タスク!$D72="","",タスク!$C72)</f>
        <v/>
      </c>
      <c r="C74" s="25" t="str">
        <f aca="false">IF(タスク!$D72="","",タスク!$D72)</f>
        <v/>
      </c>
      <c r="D74" s="25" t="str">
        <f aca="false">IF(タスク!$D72="","",タスク!$E72)</f>
        <v/>
      </c>
      <c r="E74" s="26" t="str">
        <f aca="false">IF(タスク!$D72="","",IF(タスク!$F72="","",タスク!$F72))</f>
        <v/>
      </c>
      <c r="F74" s="26" t="str">
        <f aca="false">IF(タスク!$D72="","",IF(タスク!$G72="","",タスク!$G72))</f>
        <v/>
      </c>
      <c r="G74" s="27" t="str">
        <f aca="false">IF(タスク!$D72="","",IF(タスク!$H72="完了",1,IF(タスク!$I72="",0,タスク!$I72)))</f>
        <v/>
      </c>
      <c r="H74" s="25" t="str">
        <f aca="false">IF(タスク!$D72="","",タスク!$H72)</f>
        <v/>
      </c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"/>
      <c r="CB74" s="2"/>
      <c r="CC74" s="2"/>
      <c r="CD74" s="2"/>
    </row>
    <row r="75" customFormat="false" ht="15" hidden="false" customHeight="false" outlineLevel="0" collapsed="false">
      <c r="A75" s="25" t="str">
        <f aca="false">IF(タスク!$D73="","",タスク!$A73)</f>
        <v/>
      </c>
      <c r="B75" s="25" t="str">
        <f aca="false">IF(タスク!$D73="","",タスク!$C73)</f>
        <v/>
      </c>
      <c r="C75" s="25" t="str">
        <f aca="false">IF(タスク!$D73="","",タスク!$D73)</f>
        <v/>
      </c>
      <c r="D75" s="25" t="str">
        <f aca="false">IF(タスク!$D73="","",タスク!$E73)</f>
        <v/>
      </c>
      <c r="E75" s="26" t="str">
        <f aca="false">IF(タスク!$D73="","",IF(タスク!$F73="","",タスク!$F73))</f>
        <v/>
      </c>
      <c r="F75" s="26" t="str">
        <f aca="false">IF(タスク!$D73="","",IF(タスク!$G73="","",タスク!$G73))</f>
        <v/>
      </c>
      <c r="G75" s="27" t="str">
        <f aca="false">IF(タスク!$D73="","",IF(タスク!$H73="完了",1,IF(タスク!$I73="",0,タスク!$I73)))</f>
        <v/>
      </c>
      <c r="H75" s="25" t="str">
        <f aca="false">IF(タスク!$D73="","",タスク!$H73)</f>
        <v/>
      </c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"/>
      <c r="CB75" s="2"/>
      <c r="CC75" s="2"/>
      <c r="CD75" s="2"/>
    </row>
    <row r="76" customFormat="false" ht="15" hidden="false" customHeight="false" outlineLevel="0" collapsed="false">
      <c r="A76" s="25" t="str">
        <f aca="false">IF(タスク!$D74="","",タスク!$A74)</f>
        <v/>
      </c>
      <c r="B76" s="25" t="str">
        <f aca="false">IF(タスク!$D74="","",タスク!$C74)</f>
        <v/>
      </c>
      <c r="C76" s="25" t="str">
        <f aca="false">IF(タスク!$D74="","",タスク!$D74)</f>
        <v/>
      </c>
      <c r="D76" s="25" t="str">
        <f aca="false">IF(タスク!$D74="","",タスク!$E74)</f>
        <v/>
      </c>
      <c r="E76" s="26" t="str">
        <f aca="false">IF(タスク!$D74="","",IF(タスク!$F74="","",タスク!$F74))</f>
        <v/>
      </c>
      <c r="F76" s="26" t="str">
        <f aca="false">IF(タスク!$D74="","",IF(タスク!$G74="","",タスク!$G74))</f>
        <v/>
      </c>
      <c r="G76" s="27" t="str">
        <f aca="false">IF(タスク!$D74="","",IF(タスク!$H74="完了",1,IF(タスク!$I74="",0,タスク!$I74)))</f>
        <v/>
      </c>
      <c r="H76" s="25" t="str">
        <f aca="false">IF(タスク!$D74="","",タスク!$H74)</f>
        <v/>
      </c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"/>
      <c r="CB76" s="2"/>
      <c r="CC76" s="2"/>
      <c r="CD76" s="2"/>
    </row>
    <row r="77" customFormat="false" ht="15" hidden="false" customHeight="false" outlineLevel="0" collapsed="false">
      <c r="A77" s="25" t="str">
        <f aca="false">IF(タスク!$D75="","",タスク!$A75)</f>
        <v/>
      </c>
      <c r="B77" s="25" t="str">
        <f aca="false">IF(タスク!$D75="","",タスク!$C75)</f>
        <v/>
      </c>
      <c r="C77" s="25" t="str">
        <f aca="false">IF(タスク!$D75="","",タスク!$D75)</f>
        <v/>
      </c>
      <c r="D77" s="25" t="str">
        <f aca="false">IF(タスク!$D75="","",タスク!$E75)</f>
        <v/>
      </c>
      <c r="E77" s="26" t="str">
        <f aca="false">IF(タスク!$D75="","",IF(タスク!$F75="","",タスク!$F75))</f>
        <v/>
      </c>
      <c r="F77" s="26" t="str">
        <f aca="false">IF(タスク!$D75="","",IF(タスク!$G75="","",タスク!$G75))</f>
        <v/>
      </c>
      <c r="G77" s="27" t="str">
        <f aca="false">IF(タスク!$D75="","",IF(タスク!$H75="完了",1,IF(タスク!$I75="",0,タスク!$I75)))</f>
        <v/>
      </c>
      <c r="H77" s="25" t="str">
        <f aca="false">IF(タスク!$D75="","",タスク!$H75)</f>
        <v/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"/>
      <c r="CB77" s="2"/>
      <c r="CC77" s="2"/>
      <c r="CD77" s="2"/>
    </row>
    <row r="78" customFormat="false" ht="15" hidden="false" customHeight="false" outlineLevel="0" collapsed="false">
      <c r="A78" s="25" t="str">
        <f aca="false">IF(タスク!$D76="","",タスク!$A76)</f>
        <v/>
      </c>
      <c r="B78" s="25" t="str">
        <f aca="false">IF(タスク!$D76="","",タスク!$C76)</f>
        <v/>
      </c>
      <c r="C78" s="25" t="str">
        <f aca="false">IF(タスク!$D76="","",タスク!$D76)</f>
        <v/>
      </c>
      <c r="D78" s="25" t="str">
        <f aca="false">IF(タスク!$D76="","",タスク!$E76)</f>
        <v/>
      </c>
      <c r="E78" s="26" t="str">
        <f aca="false">IF(タスク!$D76="","",IF(タスク!$F76="","",タスク!$F76))</f>
        <v/>
      </c>
      <c r="F78" s="26" t="str">
        <f aca="false">IF(タスク!$D76="","",IF(タスク!$G76="","",タスク!$G76))</f>
        <v/>
      </c>
      <c r="G78" s="27" t="str">
        <f aca="false">IF(タスク!$D76="","",IF(タスク!$H76="完了",1,IF(タスク!$I76="",0,タスク!$I76)))</f>
        <v/>
      </c>
      <c r="H78" s="25" t="str">
        <f aca="false">IF(タスク!$D76="","",タスク!$H76)</f>
        <v/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"/>
      <c r="CB78" s="2"/>
      <c r="CC78" s="2"/>
      <c r="CD78" s="2"/>
    </row>
    <row r="79" customFormat="false" ht="15" hidden="false" customHeight="false" outlineLevel="0" collapsed="false">
      <c r="A79" s="25" t="str">
        <f aca="false">IF(タスク!$D77="","",タスク!$A77)</f>
        <v/>
      </c>
      <c r="B79" s="25" t="str">
        <f aca="false">IF(タスク!$D77="","",タスク!$C77)</f>
        <v/>
      </c>
      <c r="C79" s="25" t="str">
        <f aca="false">IF(タスク!$D77="","",タスク!$D77)</f>
        <v/>
      </c>
      <c r="D79" s="25" t="str">
        <f aca="false">IF(タスク!$D77="","",タスク!$E77)</f>
        <v/>
      </c>
      <c r="E79" s="26" t="str">
        <f aca="false">IF(タスク!$D77="","",IF(タスク!$F77="","",タスク!$F77))</f>
        <v/>
      </c>
      <c r="F79" s="26" t="str">
        <f aca="false">IF(タスク!$D77="","",IF(タスク!$G77="","",タスク!$G77))</f>
        <v/>
      </c>
      <c r="G79" s="27" t="str">
        <f aca="false">IF(タスク!$D77="","",IF(タスク!$H77="完了",1,IF(タスク!$I77="",0,タスク!$I77)))</f>
        <v/>
      </c>
      <c r="H79" s="25" t="str">
        <f aca="false">IF(タスク!$D77="","",タスク!$H77)</f>
        <v/>
      </c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"/>
      <c r="CB79" s="2"/>
      <c r="CC79" s="2"/>
      <c r="CD79" s="2"/>
    </row>
    <row r="80" customFormat="false" ht="15" hidden="false" customHeight="false" outlineLevel="0" collapsed="false">
      <c r="A80" s="25" t="str">
        <f aca="false">IF(タスク!$D78="","",タスク!$A78)</f>
        <v/>
      </c>
      <c r="B80" s="25" t="str">
        <f aca="false">IF(タスク!$D78="","",タスク!$C78)</f>
        <v/>
      </c>
      <c r="C80" s="25" t="str">
        <f aca="false">IF(タスク!$D78="","",タスク!$D78)</f>
        <v/>
      </c>
      <c r="D80" s="25" t="str">
        <f aca="false">IF(タスク!$D78="","",タスク!$E78)</f>
        <v/>
      </c>
      <c r="E80" s="26" t="str">
        <f aca="false">IF(タスク!$D78="","",IF(タスク!$F78="","",タスク!$F78))</f>
        <v/>
      </c>
      <c r="F80" s="26" t="str">
        <f aca="false">IF(タスク!$D78="","",IF(タスク!$G78="","",タスク!$G78))</f>
        <v/>
      </c>
      <c r="G80" s="27" t="str">
        <f aca="false">IF(タスク!$D78="","",IF(タスク!$H78="完了",1,IF(タスク!$I78="",0,タスク!$I78)))</f>
        <v/>
      </c>
      <c r="H80" s="25" t="str">
        <f aca="false">IF(タスク!$D78="","",タスク!$H78)</f>
        <v/>
      </c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"/>
      <c r="CB80" s="2"/>
      <c r="CC80" s="2"/>
      <c r="CD80" s="2"/>
    </row>
    <row r="81" customFormat="false" ht="15" hidden="false" customHeight="false" outlineLevel="0" collapsed="false">
      <c r="A81" s="25" t="str">
        <f aca="false">IF(タスク!$D79="","",タスク!$A79)</f>
        <v/>
      </c>
      <c r="B81" s="25" t="str">
        <f aca="false">IF(タスク!$D79="","",タスク!$C79)</f>
        <v/>
      </c>
      <c r="C81" s="25" t="str">
        <f aca="false">IF(タスク!$D79="","",タスク!$D79)</f>
        <v/>
      </c>
      <c r="D81" s="25" t="str">
        <f aca="false">IF(タスク!$D79="","",タスク!$E79)</f>
        <v/>
      </c>
      <c r="E81" s="26" t="str">
        <f aca="false">IF(タスク!$D79="","",IF(タスク!$F79="","",タスク!$F79))</f>
        <v/>
      </c>
      <c r="F81" s="26" t="str">
        <f aca="false">IF(タスク!$D79="","",IF(タスク!$G79="","",タスク!$G79))</f>
        <v/>
      </c>
      <c r="G81" s="27" t="str">
        <f aca="false">IF(タスク!$D79="","",IF(タスク!$H79="完了",1,IF(タスク!$I79="",0,タスク!$I79)))</f>
        <v/>
      </c>
      <c r="H81" s="25" t="str">
        <f aca="false">IF(タスク!$D79="","",タスク!$H79)</f>
        <v/>
      </c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"/>
      <c r="CB81" s="2"/>
      <c r="CC81" s="2"/>
      <c r="CD81" s="2"/>
    </row>
    <row r="82" customFormat="false" ht="15" hidden="false" customHeight="false" outlineLevel="0" collapsed="false">
      <c r="A82" s="25" t="str">
        <f aca="false">IF(タスク!$D80="","",タスク!$A80)</f>
        <v/>
      </c>
      <c r="B82" s="25" t="str">
        <f aca="false">IF(タスク!$D80="","",タスク!$C80)</f>
        <v/>
      </c>
      <c r="C82" s="25" t="str">
        <f aca="false">IF(タスク!$D80="","",タスク!$D80)</f>
        <v/>
      </c>
      <c r="D82" s="25" t="str">
        <f aca="false">IF(タスク!$D80="","",タスク!$E80)</f>
        <v/>
      </c>
      <c r="E82" s="26" t="str">
        <f aca="false">IF(タスク!$D80="","",IF(タスク!$F80="","",タスク!$F80))</f>
        <v/>
      </c>
      <c r="F82" s="26" t="str">
        <f aca="false">IF(タスク!$D80="","",IF(タスク!$G80="","",タスク!$G80))</f>
        <v/>
      </c>
      <c r="G82" s="27" t="str">
        <f aca="false">IF(タスク!$D80="","",IF(タスク!$H80="完了",1,IF(タスク!$I80="",0,タスク!$I80)))</f>
        <v/>
      </c>
      <c r="H82" s="25" t="str">
        <f aca="false">IF(タスク!$D80="","",タスク!$H80)</f>
        <v/>
      </c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"/>
      <c r="CB82" s="2"/>
      <c r="CC82" s="2"/>
      <c r="CD82" s="2"/>
    </row>
    <row r="83" customFormat="false" ht="15" hidden="false" customHeight="false" outlineLevel="0" collapsed="false">
      <c r="A83" s="25" t="str">
        <f aca="false">IF(タスク!$D81="","",タスク!$A81)</f>
        <v/>
      </c>
      <c r="B83" s="25" t="str">
        <f aca="false">IF(タスク!$D81="","",タスク!$C81)</f>
        <v/>
      </c>
      <c r="C83" s="25" t="str">
        <f aca="false">IF(タスク!$D81="","",タスク!$D81)</f>
        <v/>
      </c>
      <c r="D83" s="25" t="str">
        <f aca="false">IF(タスク!$D81="","",タスク!$E81)</f>
        <v/>
      </c>
      <c r="E83" s="26" t="str">
        <f aca="false">IF(タスク!$D81="","",IF(タスク!$F81="","",タスク!$F81))</f>
        <v/>
      </c>
      <c r="F83" s="26" t="str">
        <f aca="false">IF(タスク!$D81="","",IF(タスク!$G81="","",タスク!$G81))</f>
        <v/>
      </c>
      <c r="G83" s="27" t="str">
        <f aca="false">IF(タスク!$D81="","",IF(タスク!$H81="完了",1,IF(タスク!$I81="",0,タスク!$I81)))</f>
        <v/>
      </c>
      <c r="H83" s="25" t="str">
        <f aca="false">IF(タスク!$D81="","",タスク!$H81)</f>
        <v/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"/>
      <c r="CB83" s="2"/>
      <c r="CC83" s="2"/>
      <c r="CD83" s="2"/>
    </row>
    <row r="84" customFormat="false" ht="15" hidden="false" customHeight="false" outlineLevel="0" collapsed="false">
      <c r="A84" s="25" t="str">
        <f aca="false">IF(タスク!$D82="","",タスク!$A82)</f>
        <v/>
      </c>
      <c r="B84" s="25" t="str">
        <f aca="false">IF(タスク!$D82="","",タスク!$C82)</f>
        <v/>
      </c>
      <c r="C84" s="25" t="str">
        <f aca="false">IF(タスク!$D82="","",タスク!$D82)</f>
        <v/>
      </c>
      <c r="D84" s="25" t="str">
        <f aca="false">IF(タスク!$D82="","",タスク!$E82)</f>
        <v/>
      </c>
      <c r="E84" s="26" t="str">
        <f aca="false">IF(タスク!$D82="","",IF(タスク!$F82="","",タスク!$F82))</f>
        <v/>
      </c>
      <c r="F84" s="26" t="str">
        <f aca="false">IF(タスク!$D82="","",IF(タスク!$G82="","",タスク!$G82))</f>
        <v/>
      </c>
      <c r="G84" s="27" t="str">
        <f aca="false">IF(タスク!$D82="","",IF(タスク!$H82="完了",1,IF(タスク!$I82="",0,タスク!$I82)))</f>
        <v/>
      </c>
      <c r="H84" s="25" t="str">
        <f aca="false">IF(タスク!$D82="","",タスク!$H82)</f>
        <v/>
      </c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"/>
      <c r="CB84" s="2"/>
      <c r="CC84" s="2"/>
      <c r="CD84" s="2"/>
    </row>
    <row r="85" customFormat="false" ht="15" hidden="false" customHeight="false" outlineLevel="0" collapsed="false">
      <c r="A85" s="25" t="str">
        <f aca="false">IF(タスク!$D83="","",タスク!$A83)</f>
        <v/>
      </c>
      <c r="B85" s="25" t="str">
        <f aca="false">IF(タスク!$D83="","",タスク!$C83)</f>
        <v/>
      </c>
      <c r="C85" s="25" t="str">
        <f aca="false">IF(タスク!$D83="","",タスク!$D83)</f>
        <v/>
      </c>
      <c r="D85" s="25" t="str">
        <f aca="false">IF(タスク!$D83="","",タスク!$E83)</f>
        <v/>
      </c>
      <c r="E85" s="26" t="str">
        <f aca="false">IF(タスク!$D83="","",IF(タスク!$F83="","",タスク!$F83))</f>
        <v/>
      </c>
      <c r="F85" s="26" t="str">
        <f aca="false">IF(タスク!$D83="","",IF(タスク!$G83="","",タスク!$G83))</f>
        <v/>
      </c>
      <c r="G85" s="27" t="str">
        <f aca="false">IF(タスク!$D83="","",IF(タスク!$H83="完了",1,IF(タスク!$I83="",0,タスク!$I83)))</f>
        <v/>
      </c>
      <c r="H85" s="25" t="str">
        <f aca="false">IF(タスク!$D83="","",タスク!$H83)</f>
        <v/>
      </c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"/>
      <c r="CB85" s="2"/>
      <c r="CC85" s="2"/>
      <c r="CD85" s="2"/>
    </row>
    <row r="86" customFormat="false" ht="15" hidden="false" customHeight="false" outlineLevel="0" collapsed="false">
      <c r="A86" s="25" t="str">
        <f aca="false">IF(タスク!$D84="","",タスク!$A84)</f>
        <v/>
      </c>
      <c r="B86" s="25" t="str">
        <f aca="false">IF(タスク!$D84="","",タスク!$C84)</f>
        <v/>
      </c>
      <c r="C86" s="25" t="str">
        <f aca="false">IF(タスク!$D84="","",タスク!$D84)</f>
        <v/>
      </c>
      <c r="D86" s="25" t="str">
        <f aca="false">IF(タスク!$D84="","",タスク!$E84)</f>
        <v/>
      </c>
      <c r="E86" s="26" t="str">
        <f aca="false">IF(タスク!$D84="","",IF(タスク!$F84="","",タスク!$F84))</f>
        <v/>
      </c>
      <c r="F86" s="26" t="str">
        <f aca="false">IF(タスク!$D84="","",IF(タスク!$G84="","",タスク!$G84))</f>
        <v/>
      </c>
      <c r="G86" s="27" t="str">
        <f aca="false">IF(タスク!$D84="","",IF(タスク!$H84="完了",1,IF(タスク!$I84="",0,タスク!$I84)))</f>
        <v/>
      </c>
      <c r="H86" s="25" t="str">
        <f aca="false">IF(タスク!$D84="","",タスク!$H84)</f>
        <v/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"/>
      <c r="CB86" s="2"/>
      <c r="CC86" s="2"/>
      <c r="CD86" s="2"/>
    </row>
    <row r="87" customFormat="false" ht="15" hidden="false" customHeight="false" outlineLevel="0" collapsed="false">
      <c r="A87" s="25" t="str">
        <f aca="false">IF(タスク!$D85="","",タスク!$A85)</f>
        <v/>
      </c>
      <c r="B87" s="25" t="str">
        <f aca="false">IF(タスク!$D85="","",タスク!$C85)</f>
        <v/>
      </c>
      <c r="C87" s="25" t="str">
        <f aca="false">IF(タスク!$D85="","",タスク!$D85)</f>
        <v/>
      </c>
      <c r="D87" s="25" t="str">
        <f aca="false">IF(タスク!$D85="","",タスク!$E85)</f>
        <v/>
      </c>
      <c r="E87" s="26" t="str">
        <f aca="false">IF(タスク!$D85="","",IF(タスク!$F85="","",タスク!$F85))</f>
        <v/>
      </c>
      <c r="F87" s="26" t="str">
        <f aca="false">IF(タスク!$D85="","",IF(タスク!$G85="","",タスク!$G85))</f>
        <v/>
      </c>
      <c r="G87" s="27" t="str">
        <f aca="false">IF(タスク!$D85="","",IF(タスク!$H85="完了",1,IF(タスク!$I85="",0,タスク!$I85)))</f>
        <v/>
      </c>
      <c r="H87" s="25" t="str">
        <f aca="false">IF(タスク!$D85="","",タスク!$H85)</f>
        <v/>
      </c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"/>
      <c r="CB87" s="2"/>
      <c r="CC87" s="2"/>
      <c r="CD87" s="2"/>
    </row>
    <row r="88" customFormat="false" ht="15" hidden="false" customHeight="false" outlineLevel="0" collapsed="false">
      <c r="A88" s="25" t="str">
        <f aca="false">IF(タスク!$D86="","",タスク!$A86)</f>
        <v/>
      </c>
      <c r="B88" s="25" t="str">
        <f aca="false">IF(タスク!$D86="","",タスク!$C86)</f>
        <v/>
      </c>
      <c r="C88" s="25" t="str">
        <f aca="false">IF(タスク!$D86="","",タスク!$D86)</f>
        <v/>
      </c>
      <c r="D88" s="25" t="str">
        <f aca="false">IF(タスク!$D86="","",タスク!$E86)</f>
        <v/>
      </c>
      <c r="E88" s="26" t="str">
        <f aca="false">IF(タスク!$D86="","",IF(タスク!$F86="","",タスク!$F86))</f>
        <v/>
      </c>
      <c r="F88" s="26" t="str">
        <f aca="false">IF(タスク!$D86="","",IF(タスク!$G86="","",タスク!$G86))</f>
        <v/>
      </c>
      <c r="G88" s="27" t="str">
        <f aca="false">IF(タスク!$D86="","",IF(タスク!$H86="完了",1,IF(タスク!$I86="",0,タスク!$I86)))</f>
        <v/>
      </c>
      <c r="H88" s="25" t="str">
        <f aca="false">IF(タスク!$D86="","",タスク!$H86)</f>
        <v/>
      </c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"/>
      <c r="CB88" s="2"/>
      <c r="CC88" s="2"/>
      <c r="CD88" s="2"/>
    </row>
    <row r="89" customFormat="false" ht="15" hidden="false" customHeight="false" outlineLevel="0" collapsed="false">
      <c r="A89" s="25" t="str">
        <f aca="false">IF(タスク!$D87="","",タスク!$A87)</f>
        <v/>
      </c>
      <c r="B89" s="25" t="str">
        <f aca="false">IF(タスク!$D87="","",タスク!$C87)</f>
        <v/>
      </c>
      <c r="C89" s="25" t="str">
        <f aca="false">IF(タスク!$D87="","",タスク!$D87)</f>
        <v/>
      </c>
      <c r="D89" s="25" t="str">
        <f aca="false">IF(タスク!$D87="","",タスク!$E87)</f>
        <v/>
      </c>
      <c r="E89" s="26" t="str">
        <f aca="false">IF(タスク!$D87="","",IF(タスク!$F87="","",タスク!$F87))</f>
        <v/>
      </c>
      <c r="F89" s="26" t="str">
        <f aca="false">IF(タスク!$D87="","",IF(タスク!$G87="","",タスク!$G87))</f>
        <v/>
      </c>
      <c r="G89" s="27" t="str">
        <f aca="false">IF(タスク!$D87="","",IF(タスク!$H87="完了",1,IF(タスク!$I87="",0,タスク!$I87)))</f>
        <v/>
      </c>
      <c r="H89" s="25" t="str">
        <f aca="false">IF(タスク!$D87="","",タスク!$H87)</f>
        <v/>
      </c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"/>
      <c r="CB89" s="2"/>
      <c r="CC89" s="2"/>
      <c r="CD89" s="2"/>
    </row>
    <row r="90" customFormat="false" ht="15" hidden="false" customHeight="false" outlineLevel="0" collapsed="false">
      <c r="A90" s="25" t="str">
        <f aca="false">IF(タスク!$D88="","",タスク!$A88)</f>
        <v/>
      </c>
      <c r="B90" s="25" t="str">
        <f aca="false">IF(タスク!$D88="","",タスク!$C88)</f>
        <v/>
      </c>
      <c r="C90" s="25" t="str">
        <f aca="false">IF(タスク!$D88="","",タスク!$D88)</f>
        <v/>
      </c>
      <c r="D90" s="25" t="str">
        <f aca="false">IF(タスク!$D88="","",タスク!$E88)</f>
        <v/>
      </c>
      <c r="E90" s="26" t="str">
        <f aca="false">IF(タスク!$D88="","",IF(タスク!$F88="","",タスク!$F88))</f>
        <v/>
      </c>
      <c r="F90" s="26" t="str">
        <f aca="false">IF(タスク!$D88="","",IF(タスク!$G88="","",タスク!$G88))</f>
        <v/>
      </c>
      <c r="G90" s="27" t="str">
        <f aca="false">IF(タスク!$D88="","",IF(タスク!$H88="完了",1,IF(タスク!$I88="",0,タスク!$I88)))</f>
        <v/>
      </c>
      <c r="H90" s="25" t="str">
        <f aca="false">IF(タスク!$D88="","",タスク!$H88)</f>
        <v/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"/>
      <c r="CB90" s="2"/>
      <c r="CC90" s="2"/>
      <c r="CD90" s="2"/>
    </row>
    <row r="91" customFormat="false" ht="15" hidden="false" customHeight="false" outlineLevel="0" collapsed="false">
      <c r="A91" s="25" t="str">
        <f aca="false">IF(タスク!$D89="","",タスク!$A89)</f>
        <v/>
      </c>
      <c r="B91" s="25" t="str">
        <f aca="false">IF(タスク!$D89="","",タスク!$C89)</f>
        <v/>
      </c>
      <c r="C91" s="25" t="str">
        <f aca="false">IF(タスク!$D89="","",タスク!$D89)</f>
        <v/>
      </c>
      <c r="D91" s="25" t="str">
        <f aca="false">IF(タスク!$D89="","",タスク!$E89)</f>
        <v/>
      </c>
      <c r="E91" s="26" t="str">
        <f aca="false">IF(タスク!$D89="","",IF(タスク!$F89="","",タスク!$F89))</f>
        <v/>
      </c>
      <c r="F91" s="26" t="str">
        <f aca="false">IF(タスク!$D89="","",IF(タスク!$G89="","",タスク!$G89))</f>
        <v/>
      </c>
      <c r="G91" s="27" t="str">
        <f aca="false">IF(タスク!$D89="","",IF(タスク!$H89="完了",1,IF(タスク!$I89="",0,タスク!$I89)))</f>
        <v/>
      </c>
      <c r="H91" s="25" t="str">
        <f aca="false">IF(タスク!$D89="","",タスク!$H89)</f>
        <v/>
      </c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"/>
      <c r="CB91" s="2"/>
      <c r="CC91" s="2"/>
      <c r="CD91" s="2"/>
    </row>
    <row r="92" customFormat="false" ht="15" hidden="false" customHeight="false" outlineLevel="0" collapsed="false">
      <c r="A92" s="25" t="str">
        <f aca="false">IF(タスク!$D90="","",タスク!$A90)</f>
        <v/>
      </c>
      <c r="B92" s="25" t="str">
        <f aca="false">IF(タスク!$D90="","",タスク!$C90)</f>
        <v/>
      </c>
      <c r="C92" s="25" t="str">
        <f aca="false">IF(タスク!$D90="","",タスク!$D90)</f>
        <v/>
      </c>
      <c r="D92" s="25" t="str">
        <f aca="false">IF(タスク!$D90="","",タスク!$E90)</f>
        <v/>
      </c>
      <c r="E92" s="26" t="str">
        <f aca="false">IF(タスク!$D90="","",IF(タスク!$F90="","",タスク!$F90))</f>
        <v/>
      </c>
      <c r="F92" s="26" t="str">
        <f aca="false">IF(タスク!$D90="","",IF(タスク!$G90="","",タスク!$G90))</f>
        <v/>
      </c>
      <c r="G92" s="27" t="str">
        <f aca="false">IF(タスク!$D90="","",IF(タスク!$H90="完了",1,IF(タスク!$I90="",0,タスク!$I90)))</f>
        <v/>
      </c>
      <c r="H92" s="25" t="str">
        <f aca="false">IF(タスク!$D90="","",タスク!$H90)</f>
        <v/>
      </c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"/>
      <c r="CB92" s="2"/>
      <c r="CC92" s="2"/>
      <c r="CD92" s="2"/>
    </row>
    <row r="93" customFormat="false" ht="15" hidden="false" customHeight="false" outlineLevel="0" collapsed="false">
      <c r="A93" s="25" t="str">
        <f aca="false">IF(タスク!$D91="","",タスク!$A91)</f>
        <v/>
      </c>
      <c r="B93" s="25" t="str">
        <f aca="false">IF(タスク!$D91="","",タスク!$C91)</f>
        <v/>
      </c>
      <c r="C93" s="25" t="str">
        <f aca="false">IF(タスク!$D91="","",タスク!$D91)</f>
        <v/>
      </c>
      <c r="D93" s="25" t="str">
        <f aca="false">IF(タスク!$D91="","",タスク!$E91)</f>
        <v/>
      </c>
      <c r="E93" s="26" t="str">
        <f aca="false">IF(タスク!$D91="","",IF(タスク!$F91="","",タスク!$F91))</f>
        <v/>
      </c>
      <c r="F93" s="26" t="str">
        <f aca="false">IF(タスク!$D91="","",IF(タスク!$G91="","",タスク!$G91))</f>
        <v/>
      </c>
      <c r="G93" s="27" t="str">
        <f aca="false">IF(タスク!$D91="","",IF(タスク!$H91="完了",1,IF(タスク!$I91="",0,タスク!$I91)))</f>
        <v/>
      </c>
      <c r="H93" s="25" t="str">
        <f aca="false">IF(タスク!$D91="","",タスク!$H91)</f>
        <v/>
      </c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"/>
      <c r="CB93" s="2"/>
      <c r="CC93" s="2"/>
      <c r="CD93" s="2"/>
    </row>
    <row r="94" customFormat="false" ht="15" hidden="false" customHeight="false" outlineLevel="0" collapsed="false">
      <c r="A94" s="25" t="str">
        <f aca="false">IF(タスク!$D92="","",タスク!$A92)</f>
        <v/>
      </c>
      <c r="B94" s="25" t="str">
        <f aca="false">IF(タスク!$D92="","",タスク!$C92)</f>
        <v/>
      </c>
      <c r="C94" s="25" t="str">
        <f aca="false">IF(タスク!$D92="","",タスク!$D92)</f>
        <v/>
      </c>
      <c r="D94" s="25" t="str">
        <f aca="false">IF(タスク!$D92="","",タスク!$E92)</f>
        <v/>
      </c>
      <c r="E94" s="26" t="str">
        <f aca="false">IF(タスク!$D92="","",IF(タスク!$F92="","",タスク!$F92))</f>
        <v/>
      </c>
      <c r="F94" s="26" t="str">
        <f aca="false">IF(タスク!$D92="","",IF(タスク!$G92="","",タスク!$G92))</f>
        <v/>
      </c>
      <c r="G94" s="27" t="str">
        <f aca="false">IF(タスク!$D92="","",IF(タスク!$H92="完了",1,IF(タスク!$I92="",0,タスク!$I92)))</f>
        <v/>
      </c>
      <c r="H94" s="25" t="str">
        <f aca="false">IF(タスク!$D92="","",タスク!$H92)</f>
        <v/>
      </c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"/>
      <c r="CB94" s="2"/>
      <c r="CC94" s="2"/>
      <c r="CD94" s="2"/>
    </row>
    <row r="95" customFormat="false" ht="15" hidden="false" customHeight="false" outlineLevel="0" collapsed="false">
      <c r="A95" s="25" t="str">
        <f aca="false">IF(タスク!$D93="","",タスク!$A93)</f>
        <v/>
      </c>
      <c r="B95" s="25" t="str">
        <f aca="false">IF(タスク!$D93="","",タスク!$C93)</f>
        <v/>
      </c>
      <c r="C95" s="25" t="str">
        <f aca="false">IF(タスク!$D93="","",タスク!$D93)</f>
        <v/>
      </c>
      <c r="D95" s="25" t="str">
        <f aca="false">IF(タスク!$D93="","",タスク!$E93)</f>
        <v/>
      </c>
      <c r="E95" s="26" t="str">
        <f aca="false">IF(タスク!$D93="","",IF(タスク!$F93="","",タスク!$F93))</f>
        <v/>
      </c>
      <c r="F95" s="26" t="str">
        <f aca="false">IF(タスク!$D93="","",IF(タスク!$G93="","",タスク!$G93))</f>
        <v/>
      </c>
      <c r="G95" s="27" t="str">
        <f aca="false">IF(タスク!$D93="","",IF(タスク!$H93="完了",1,IF(タスク!$I93="",0,タスク!$I93)))</f>
        <v/>
      </c>
      <c r="H95" s="25" t="str">
        <f aca="false">IF(タスク!$D93="","",タスク!$H93)</f>
        <v/>
      </c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"/>
      <c r="CB95" s="2"/>
      <c r="CC95" s="2"/>
      <c r="CD95" s="2"/>
    </row>
    <row r="96" customFormat="false" ht="15" hidden="false" customHeight="false" outlineLevel="0" collapsed="false">
      <c r="A96" s="25" t="str">
        <f aca="false">IF(タスク!$D94="","",タスク!$A94)</f>
        <v/>
      </c>
      <c r="B96" s="25" t="str">
        <f aca="false">IF(タスク!$D94="","",タスク!$C94)</f>
        <v/>
      </c>
      <c r="C96" s="25" t="str">
        <f aca="false">IF(タスク!$D94="","",タスク!$D94)</f>
        <v/>
      </c>
      <c r="D96" s="25" t="str">
        <f aca="false">IF(タスク!$D94="","",タスク!$E94)</f>
        <v/>
      </c>
      <c r="E96" s="26" t="str">
        <f aca="false">IF(タスク!$D94="","",IF(タスク!$F94="","",タスク!$F94))</f>
        <v/>
      </c>
      <c r="F96" s="26" t="str">
        <f aca="false">IF(タスク!$D94="","",IF(タスク!$G94="","",タスク!$G94))</f>
        <v/>
      </c>
      <c r="G96" s="27" t="str">
        <f aca="false">IF(タスク!$D94="","",IF(タスク!$H94="完了",1,IF(タスク!$I94="",0,タスク!$I94)))</f>
        <v/>
      </c>
      <c r="H96" s="25" t="str">
        <f aca="false">IF(タスク!$D94="","",タスク!$H94)</f>
        <v/>
      </c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"/>
      <c r="CB96" s="2"/>
      <c r="CC96" s="2"/>
      <c r="CD96" s="2"/>
    </row>
    <row r="97" customFormat="false" ht="15" hidden="false" customHeight="false" outlineLevel="0" collapsed="false">
      <c r="A97" s="25" t="str">
        <f aca="false">IF(タスク!$D95="","",タスク!$A95)</f>
        <v/>
      </c>
      <c r="B97" s="25" t="str">
        <f aca="false">IF(タスク!$D95="","",タスク!$C95)</f>
        <v/>
      </c>
      <c r="C97" s="25" t="str">
        <f aca="false">IF(タスク!$D95="","",タスク!$D95)</f>
        <v/>
      </c>
      <c r="D97" s="25" t="str">
        <f aca="false">IF(タスク!$D95="","",タスク!$E95)</f>
        <v/>
      </c>
      <c r="E97" s="26" t="str">
        <f aca="false">IF(タスク!$D95="","",IF(タスク!$F95="","",タスク!$F95))</f>
        <v/>
      </c>
      <c r="F97" s="26" t="str">
        <f aca="false">IF(タスク!$D95="","",IF(タスク!$G95="","",タスク!$G95))</f>
        <v/>
      </c>
      <c r="G97" s="27" t="str">
        <f aca="false">IF(タスク!$D95="","",IF(タスク!$H95="完了",1,IF(タスク!$I95="",0,タスク!$I95)))</f>
        <v/>
      </c>
      <c r="H97" s="25" t="str">
        <f aca="false">IF(タスク!$D95="","",タスク!$H95)</f>
        <v/>
      </c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"/>
      <c r="CB97" s="2"/>
      <c r="CC97" s="2"/>
      <c r="CD97" s="2"/>
    </row>
    <row r="98" customFormat="false" ht="15" hidden="false" customHeight="false" outlineLevel="0" collapsed="false">
      <c r="A98" s="25" t="str">
        <f aca="false">IF(タスク!$D96="","",タスク!$A96)</f>
        <v/>
      </c>
      <c r="B98" s="25" t="str">
        <f aca="false">IF(タスク!$D96="","",タスク!$C96)</f>
        <v/>
      </c>
      <c r="C98" s="25" t="str">
        <f aca="false">IF(タスク!$D96="","",タスク!$D96)</f>
        <v/>
      </c>
      <c r="D98" s="25" t="str">
        <f aca="false">IF(タスク!$D96="","",タスク!$E96)</f>
        <v/>
      </c>
      <c r="E98" s="26" t="str">
        <f aca="false">IF(タスク!$D96="","",IF(タスク!$F96="","",タスク!$F96))</f>
        <v/>
      </c>
      <c r="F98" s="26" t="str">
        <f aca="false">IF(タスク!$D96="","",IF(タスク!$G96="","",タスク!$G96))</f>
        <v/>
      </c>
      <c r="G98" s="27" t="str">
        <f aca="false">IF(タスク!$D96="","",IF(タスク!$H96="完了",1,IF(タスク!$I96="",0,タスク!$I96)))</f>
        <v/>
      </c>
      <c r="H98" s="25" t="str">
        <f aca="false">IF(タスク!$D96="","",タスク!$H96)</f>
        <v/>
      </c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"/>
      <c r="CB98" s="2"/>
      <c r="CC98" s="2"/>
      <c r="CD98" s="2"/>
    </row>
    <row r="99" customFormat="false" ht="15" hidden="false" customHeight="false" outlineLevel="0" collapsed="false">
      <c r="A99" s="25" t="str">
        <f aca="false">IF(タスク!$D97="","",タスク!$A97)</f>
        <v/>
      </c>
      <c r="B99" s="25" t="str">
        <f aca="false">IF(タスク!$D97="","",タスク!$C97)</f>
        <v/>
      </c>
      <c r="C99" s="25" t="str">
        <f aca="false">IF(タスク!$D97="","",タスク!$D97)</f>
        <v/>
      </c>
      <c r="D99" s="25" t="str">
        <f aca="false">IF(タスク!$D97="","",タスク!$E97)</f>
        <v/>
      </c>
      <c r="E99" s="26" t="str">
        <f aca="false">IF(タスク!$D97="","",IF(タスク!$F97="","",タスク!$F97))</f>
        <v/>
      </c>
      <c r="F99" s="26" t="str">
        <f aca="false">IF(タスク!$D97="","",IF(タスク!$G97="","",タスク!$G97))</f>
        <v/>
      </c>
      <c r="G99" s="27" t="str">
        <f aca="false">IF(タスク!$D97="","",IF(タスク!$H97="完了",1,IF(タスク!$I97="",0,タスク!$I97)))</f>
        <v/>
      </c>
      <c r="H99" s="25" t="str">
        <f aca="false">IF(タスク!$D97="","",タスク!$H97)</f>
        <v/>
      </c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"/>
      <c r="CB99" s="2"/>
      <c r="CC99" s="2"/>
      <c r="CD99" s="2"/>
    </row>
    <row r="100" customFormat="false" ht="15" hidden="false" customHeight="false" outlineLevel="0" collapsed="false">
      <c r="A100" s="25" t="str">
        <f aca="false">IF(タスク!$D98="","",タスク!$A98)</f>
        <v/>
      </c>
      <c r="B100" s="25" t="str">
        <f aca="false">IF(タスク!$D98="","",タスク!$C98)</f>
        <v/>
      </c>
      <c r="C100" s="25" t="str">
        <f aca="false">IF(タスク!$D98="","",タスク!$D98)</f>
        <v/>
      </c>
      <c r="D100" s="25" t="str">
        <f aca="false">IF(タスク!$D98="","",タスク!$E98)</f>
        <v/>
      </c>
      <c r="E100" s="26" t="str">
        <f aca="false">IF(タスク!$D98="","",IF(タスク!$F98="","",タスク!$F98))</f>
        <v/>
      </c>
      <c r="F100" s="26" t="str">
        <f aca="false">IF(タスク!$D98="","",IF(タスク!$G98="","",タスク!$G98))</f>
        <v/>
      </c>
      <c r="G100" s="27" t="str">
        <f aca="false">IF(タスク!$D98="","",IF(タスク!$H98="完了",1,IF(タスク!$I98="",0,タスク!$I98)))</f>
        <v/>
      </c>
      <c r="H100" s="25" t="str">
        <f aca="false">IF(タスク!$D98="","",タスク!$H98)</f>
        <v/>
      </c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"/>
      <c r="CB100" s="2"/>
      <c r="CC100" s="2"/>
      <c r="CD100" s="2"/>
    </row>
    <row r="101" customFormat="false" ht="15" hidden="false" customHeight="false" outlineLevel="0" collapsed="false">
      <c r="A101" s="25" t="str">
        <f aca="false">IF(タスク!$D99="","",タスク!$A99)</f>
        <v/>
      </c>
      <c r="B101" s="25" t="str">
        <f aca="false">IF(タスク!$D99="","",タスク!$C99)</f>
        <v/>
      </c>
      <c r="C101" s="25" t="str">
        <f aca="false">IF(タスク!$D99="","",タスク!$D99)</f>
        <v/>
      </c>
      <c r="D101" s="25" t="str">
        <f aca="false">IF(タスク!$D99="","",タスク!$E99)</f>
        <v/>
      </c>
      <c r="E101" s="26" t="str">
        <f aca="false">IF(タスク!$D99="","",IF(タスク!$F99="","",タスク!$F99))</f>
        <v/>
      </c>
      <c r="F101" s="26" t="str">
        <f aca="false">IF(タスク!$D99="","",IF(タスク!$G99="","",タスク!$G99))</f>
        <v/>
      </c>
      <c r="G101" s="27" t="str">
        <f aca="false">IF(タスク!$D99="","",IF(タスク!$H99="完了",1,IF(タスク!$I99="",0,タスク!$I99)))</f>
        <v/>
      </c>
      <c r="H101" s="25" t="str">
        <f aca="false">IF(タスク!$D99="","",タスク!$H99)</f>
        <v/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"/>
      <c r="CB101" s="2"/>
      <c r="CC101" s="2"/>
      <c r="CD101" s="2"/>
    </row>
    <row r="102" customFormat="false" ht="15" hidden="false" customHeight="false" outlineLevel="0" collapsed="false">
      <c r="A102" s="25" t="str">
        <f aca="false">IF(タスク!$D100="","",タスク!$A100)</f>
        <v/>
      </c>
      <c r="B102" s="25" t="str">
        <f aca="false">IF(タスク!$D100="","",タスク!$C100)</f>
        <v/>
      </c>
      <c r="C102" s="25" t="str">
        <f aca="false">IF(タスク!$D100="","",タスク!$D100)</f>
        <v/>
      </c>
      <c r="D102" s="25" t="str">
        <f aca="false">IF(タスク!$D100="","",タスク!$E100)</f>
        <v/>
      </c>
      <c r="E102" s="26" t="str">
        <f aca="false">IF(タスク!$D100="","",IF(タスク!$F100="","",タスク!$F100))</f>
        <v/>
      </c>
      <c r="F102" s="26" t="str">
        <f aca="false">IF(タスク!$D100="","",IF(タスク!$G100="","",タスク!$G100))</f>
        <v/>
      </c>
      <c r="G102" s="27" t="str">
        <f aca="false">IF(タスク!$D100="","",IF(タスク!$H100="完了",1,IF(タスク!$I100="",0,タスク!$I100)))</f>
        <v/>
      </c>
      <c r="H102" s="25" t="str">
        <f aca="false">IF(タスク!$D100="","",タスク!$H100)</f>
        <v/>
      </c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"/>
      <c r="CB102" s="2"/>
      <c r="CC102" s="2"/>
      <c r="CD102" s="2"/>
    </row>
    <row r="103" customFormat="false" ht="15" hidden="false" customHeight="false" outlineLevel="0" collapsed="false">
      <c r="A103" s="25" t="str">
        <f aca="false">IF(タスク!$D101="","",タスク!$A101)</f>
        <v/>
      </c>
      <c r="B103" s="25" t="str">
        <f aca="false">IF(タスク!$D101="","",タスク!$C101)</f>
        <v/>
      </c>
      <c r="C103" s="25" t="str">
        <f aca="false">IF(タスク!$D101="","",タスク!$D101)</f>
        <v/>
      </c>
      <c r="D103" s="25" t="str">
        <f aca="false">IF(タスク!$D101="","",タスク!$E101)</f>
        <v/>
      </c>
      <c r="E103" s="26" t="str">
        <f aca="false">IF(タスク!$D101="","",IF(タスク!$F101="","",タスク!$F101))</f>
        <v/>
      </c>
      <c r="F103" s="26" t="str">
        <f aca="false">IF(タスク!$D101="","",IF(タスク!$G101="","",タスク!$G101))</f>
        <v/>
      </c>
      <c r="G103" s="27" t="str">
        <f aca="false">IF(タスク!$D101="","",IF(タスク!$H101="完了",1,IF(タスク!$I101="",0,タスク!$I101)))</f>
        <v/>
      </c>
      <c r="H103" s="25" t="str">
        <f aca="false">IF(タスク!$D101="","",タスク!$H101)</f>
        <v/>
      </c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"/>
      <c r="CB103" s="2"/>
      <c r="CC103" s="2"/>
      <c r="CD103" s="2"/>
    </row>
    <row r="104" customFormat="false" ht="15" hidden="false" customHeight="false" outlineLevel="0" collapsed="false">
      <c r="A104" s="25" t="str">
        <f aca="false">IF(タスク!$D102="","",タスク!$A102)</f>
        <v/>
      </c>
      <c r="B104" s="25" t="str">
        <f aca="false">IF(タスク!$D102="","",タスク!$C102)</f>
        <v/>
      </c>
      <c r="C104" s="25" t="str">
        <f aca="false">IF(タスク!$D102="","",タスク!$D102)</f>
        <v/>
      </c>
      <c r="D104" s="25" t="str">
        <f aca="false">IF(タスク!$D102="","",タスク!$E102)</f>
        <v/>
      </c>
      <c r="E104" s="26" t="str">
        <f aca="false">IF(タスク!$D102="","",IF(タスク!$F102="","",タスク!$F102))</f>
        <v/>
      </c>
      <c r="F104" s="26" t="str">
        <f aca="false">IF(タスク!$D102="","",IF(タスク!$G102="","",タスク!$G102))</f>
        <v/>
      </c>
      <c r="G104" s="27" t="str">
        <f aca="false">IF(タスク!$D102="","",IF(タスク!$H102="完了",1,IF(タスク!$I102="",0,タスク!$I102)))</f>
        <v/>
      </c>
      <c r="H104" s="25" t="str">
        <f aca="false">IF(タスク!$D102="","",タスク!$H102)</f>
        <v/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"/>
      <c r="CB104" s="2"/>
      <c r="CC104" s="2"/>
      <c r="CD104" s="2"/>
    </row>
    <row r="105" customFormat="false" ht="15" hidden="false" customHeight="false" outlineLevel="0" collapsed="false">
      <c r="A105" s="25" t="str">
        <f aca="false">IF(タスク!$D103="","",タスク!$A103)</f>
        <v/>
      </c>
      <c r="B105" s="25" t="str">
        <f aca="false">IF(タスク!$D103="","",タスク!$C103)</f>
        <v/>
      </c>
      <c r="C105" s="25" t="str">
        <f aca="false">IF(タスク!$D103="","",タスク!$D103)</f>
        <v/>
      </c>
      <c r="D105" s="25" t="str">
        <f aca="false">IF(タスク!$D103="","",タスク!$E103)</f>
        <v/>
      </c>
      <c r="E105" s="26" t="str">
        <f aca="false">IF(タスク!$D103="","",IF(タスク!$F103="","",タスク!$F103))</f>
        <v/>
      </c>
      <c r="F105" s="26" t="str">
        <f aca="false">IF(タスク!$D103="","",IF(タスク!$G103="","",タスク!$G103))</f>
        <v/>
      </c>
      <c r="G105" s="27" t="str">
        <f aca="false">IF(タスク!$D103="","",IF(タスク!$H103="完了",1,IF(タスク!$I103="",0,タスク!$I103)))</f>
        <v/>
      </c>
      <c r="H105" s="25" t="str">
        <f aca="false">IF(タスク!$D103="","",タスク!$H103)</f>
        <v/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"/>
      <c r="CB105" s="2"/>
      <c r="CC105" s="2"/>
      <c r="CD105" s="2"/>
    </row>
    <row r="106" customFormat="false" ht="15" hidden="false" customHeight="false" outlineLevel="0" collapsed="false">
      <c r="A106" s="25" t="str">
        <f aca="false">IF(タスク!$D104="","",タスク!$A104)</f>
        <v/>
      </c>
      <c r="B106" s="25" t="str">
        <f aca="false">IF(タスク!$D104="","",タスク!$C104)</f>
        <v/>
      </c>
      <c r="C106" s="25" t="str">
        <f aca="false">IF(タスク!$D104="","",タスク!$D104)</f>
        <v/>
      </c>
      <c r="D106" s="25" t="str">
        <f aca="false">IF(タスク!$D104="","",タスク!$E104)</f>
        <v/>
      </c>
      <c r="E106" s="26" t="str">
        <f aca="false">IF(タスク!$D104="","",IF(タスク!$F104="","",タスク!$F104))</f>
        <v/>
      </c>
      <c r="F106" s="26" t="str">
        <f aca="false">IF(タスク!$D104="","",IF(タスク!$G104="","",タスク!$G104))</f>
        <v/>
      </c>
      <c r="G106" s="27" t="str">
        <f aca="false">IF(タスク!$D104="","",IF(タスク!$H104="完了",1,IF(タスク!$I104="",0,タスク!$I104)))</f>
        <v/>
      </c>
      <c r="H106" s="25" t="str">
        <f aca="false">IF(タスク!$D104="","",タスク!$H104)</f>
        <v/>
      </c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"/>
      <c r="CB106" s="2"/>
      <c r="CC106" s="2"/>
      <c r="CD106" s="2"/>
    </row>
    <row r="107" customFormat="false" ht="15" hidden="false" customHeight="false" outlineLevel="0" collapsed="false">
      <c r="A107" s="25" t="str">
        <f aca="false">IF(タスク!$D105="","",タスク!$A105)</f>
        <v/>
      </c>
      <c r="B107" s="25" t="str">
        <f aca="false">IF(タスク!$D105="","",タスク!$C105)</f>
        <v/>
      </c>
      <c r="C107" s="25" t="str">
        <f aca="false">IF(タスク!$D105="","",タスク!$D105)</f>
        <v/>
      </c>
      <c r="D107" s="25" t="str">
        <f aca="false">IF(タスク!$D105="","",タスク!$E105)</f>
        <v/>
      </c>
      <c r="E107" s="26" t="str">
        <f aca="false">IF(タスク!$D105="","",IF(タスク!$F105="","",タスク!$F105))</f>
        <v/>
      </c>
      <c r="F107" s="26" t="str">
        <f aca="false">IF(タスク!$D105="","",IF(タスク!$G105="","",タスク!$G105))</f>
        <v/>
      </c>
      <c r="G107" s="27" t="str">
        <f aca="false">IF(タスク!$D105="","",IF(タスク!$H105="完了",1,IF(タスク!$I105="",0,タスク!$I105)))</f>
        <v/>
      </c>
      <c r="H107" s="25" t="str">
        <f aca="false">IF(タスク!$D105="","",タスク!$H105)</f>
        <v/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"/>
      <c r="CB107" s="2"/>
      <c r="CC107" s="2"/>
      <c r="CD107" s="2"/>
    </row>
    <row r="108" customFormat="false" ht="15" hidden="false" customHeight="false" outlineLevel="0" collapsed="false">
      <c r="A108" s="25" t="str">
        <f aca="false">IF(タスク!$D106="","",タスク!$A106)</f>
        <v/>
      </c>
      <c r="B108" s="25" t="str">
        <f aca="false">IF(タスク!$D106="","",タスク!$C106)</f>
        <v/>
      </c>
      <c r="C108" s="25" t="str">
        <f aca="false">IF(タスク!$D106="","",タスク!$D106)</f>
        <v/>
      </c>
      <c r="D108" s="25" t="str">
        <f aca="false">IF(タスク!$D106="","",タスク!$E106)</f>
        <v/>
      </c>
      <c r="E108" s="26" t="str">
        <f aca="false">IF(タスク!$D106="","",IF(タスク!$F106="","",タスク!$F106))</f>
        <v/>
      </c>
      <c r="F108" s="26" t="str">
        <f aca="false">IF(タスク!$D106="","",IF(タスク!$G106="","",タスク!$G106))</f>
        <v/>
      </c>
      <c r="G108" s="27" t="str">
        <f aca="false">IF(タスク!$D106="","",IF(タスク!$H106="完了",1,IF(タスク!$I106="",0,タスク!$I106)))</f>
        <v/>
      </c>
      <c r="H108" s="25" t="str">
        <f aca="false">IF(タスク!$D106="","",タスク!$H106)</f>
        <v/>
      </c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"/>
      <c r="CB108" s="2"/>
      <c r="CC108" s="2"/>
      <c r="CD108" s="2"/>
    </row>
    <row r="109" customFormat="false" ht="15" hidden="false" customHeight="false" outlineLevel="0" collapsed="false">
      <c r="A109" s="25" t="str">
        <f aca="false">IF(タスク!$D107="","",タスク!$A107)</f>
        <v/>
      </c>
      <c r="B109" s="25" t="str">
        <f aca="false">IF(タスク!$D107="","",タスク!$C107)</f>
        <v/>
      </c>
      <c r="C109" s="25" t="str">
        <f aca="false">IF(タスク!$D107="","",タスク!$D107)</f>
        <v/>
      </c>
      <c r="D109" s="25" t="str">
        <f aca="false">IF(タスク!$D107="","",タスク!$E107)</f>
        <v/>
      </c>
      <c r="E109" s="26" t="str">
        <f aca="false">IF(タスク!$D107="","",IF(タスク!$F107="","",タスク!$F107))</f>
        <v/>
      </c>
      <c r="F109" s="26" t="str">
        <f aca="false">IF(タスク!$D107="","",IF(タスク!$G107="","",タスク!$G107))</f>
        <v/>
      </c>
      <c r="G109" s="27" t="str">
        <f aca="false">IF(タスク!$D107="","",IF(タスク!$H107="完了",1,IF(タスク!$I107="",0,タスク!$I107)))</f>
        <v/>
      </c>
      <c r="H109" s="25" t="str">
        <f aca="false">IF(タスク!$D107="","",タスク!$H107)</f>
        <v/>
      </c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"/>
      <c r="CB109" s="2"/>
      <c r="CC109" s="2"/>
      <c r="CD109" s="2"/>
    </row>
    <row r="110" customFormat="false" ht="15" hidden="false" customHeight="false" outlineLevel="0" collapsed="false">
      <c r="A110" s="25" t="str">
        <f aca="false">IF(タスク!$D108="","",タスク!$A108)</f>
        <v/>
      </c>
      <c r="B110" s="25" t="str">
        <f aca="false">IF(タスク!$D108="","",タスク!$C108)</f>
        <v/>
      </c>
      <c r="C110" s="25" t="str">
        <f aca="false">IF(タスク!$D108="","",タスク!$D108)</f>
        <v/>
      </c>
      <c r="D110" s="25" t="str">
        <f aca="false">IF(タスク!$D108="","",タスク!$E108)</f>
        <v/>
      </c>
      <c r="E110" s="26" t="str">
        <f aca="false">IF(タスク!$D108="","",IF(タスク!$F108="","",タスク!$F108))</f>
        <v/>
      </c>
      <c r="F110" s="26" t="str">
        <f aca="false">IF(タスク!$D108="","",IF(タスク!$G108="","",タスク!$G108))</f>
        <v/>
      </c>
      <c r="G110" s="27" t="str">
        <f aca="false">IF(タスク!$D108="","",IF(タスク!$H108="完了",1,IF(タスク!$I108="",0,タスク!$I108)))</f>
        <v/>
      </c>
      <c r="H110" s="25" t="str">
        <f aca="false">IF(タスク!$D108="","",タスク!$H108)</f>
        <v/>
      </c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"/>
      <c r="CB110" s="2"/>
      <c r="CC110" s="2"/>
      <c r="CD110" s="2"/>
    </row>
    <row r="111" customFormat="false" ht="15" hidden="false" customHeight="false" outlineLevel="0" collapsed="false">
      <c r="A111" s="25" t="str">
        <f aca="false">IF(タスク!$D109="","",タスク!$A109)</f>
        <v/>
      </c>
      <c r="B111" s="25" t="str">
        <f aca="false">IF(タスク!$D109="","",タスク!$C109)</f>
        <v/>
      </c>
      <c r="C111" s="25" t="str">
        <f aca="false">IF(タスク!$D109="","",タスク!$D109)</f>
        <v/>
      </c>
      <c r="D111" s="25" t="str">
        <f aca="false">IF(タスク!$D109="","",タスク!$E109)</f>
        <v/>
      </c>
      <c r="E111" s="26" t="str">
        <f aca="false">IF(タスク!$D109="","",IF(タスク!$F109="","",タスク!$F109))</f>
        <v/>
      </c>
      <c r="F111" s="26" t="str">
        <f aca="false">IF(タスク!$D109="","",IF(タスク!$G109="","",タスク!$G109))</f>
        <v/>
      </c>
      <c r="G111" s="27" t="str">
        <f aca="false">IF(タスク!$D109="","",IF(タスク!$H109="完了",1,IF(タスク!$I109="",0,タスク!$I109)))</f>
        <v/>
      </c>
      <c r="H111" s="25" t="str">
        <f aca="false">IF(タスク!$D109="","",タスク!$H109)</f>
        <v/>
      </c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"/>
      <c r="CB111" s="2"/>
      <c r="CC111" s="2"/>
      <c r="CD111" s="2"/>
    </row>
    <row r="112" customFormat="false" ht="15" hidden="false" customHeight="false" outlineLevel="0" collapsed="false">
      <c r="A112" s="25" t="str">
        <f aca="false">IF(タスク!$D110="","",タスク!$A110)</f>
        <v/>
      </c>
      <c r="B112" s="25" t="str">
        <f aca="false">IF(タスク!$D110="","",タスク!$C110)</f>
        <v/>
      </c>
      <c r="C112" s="25" t="str">
        <f aca="false">IF(タスク!$D110="","",タスク!$D110)</f>
        <v/>
      </c>
      <c r="D112" s="25" t="str">
        <f aca="false">IF(タスク!$D110="","",タスク!$E110)</f>
        <v/>
      </c>
      <c r="E112" s="26" t="str">
        <f aca="false">IF(タスク!$D110="","",IF(タスク!$F110="","",タスク!$F110))</f>
        <v/>
      </c>
      <c r="F112" s="26" t="str">
        <f aca="false">IF(タスク!$D110="","",IF(タスク!$G110="","",タスク!$G110))</f>
        <v/>
      </c>
      <c r="G112" s="27" t="str">
        <f aca="false">IF(タスク!$D110="","",IF(タスク!$H110="完了",1,IF(タスク!$I110="",0,タスク!$I110)))</f>
        <v/>
      </c>
      <c r="H112" s="25" t="str">
        <f aca="false">IF(タスク!$D110="","",タスク!$H110)</f>
        <v/>
      </c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"/>
      <c r="CB112" s="2"/>
      <c r="CC112" s="2"/>
      <c r="CD112" s="2"/>
    </row>
    <row r="113" customFormat="false" ht="15" hidden="false" customHeight="false" outlineLevel="0" collapsed="false">
      <c r="A113" s="25" t="str">
        <f aca="false">IF(タスク!$D111="","",タスク!$A111)</f>
        <v/>
      </c>
      <c r="B113" s="25" t="str">
        <f aca="false">IF(タスク!$D111="","",タスク!$C111)</f>
        <v/>
      </c>
      <c r="C113" s="25" t="str">
        <f aca="false">IF(タスク!$D111="","",タスク!$D111)</f>
        <v/>
      </c>
      <c r="D113" s="25" t="str">
        <f aca="false">IF(タスク!$D111="","",タスク!$E111)</f>
        <v/>
      </c>
      <c r="E113" s="26" t="str">
        <f aca="false">IF(タスク!$D111="","",IF(タスク!$F111="","",タスク!$F111))</f>
        <v/>
      </c>
      <c r="F113" s="26" t="str">
        <f aca="false">IF(タスク!$D111="","",IF(タスク!$G111="","",タスク!$G111))</f>
        <v/>
      </c>
      <c r="G113" s="27" t="str">
        <f aca="false">IF(タスク!$D111="","",IF(タスク!$H111="完了",1,IF(タスク!$I111="",0,タスク!$I111)))</f>
        <v/>
      </c>
      <c r="H113" s="25" t="str">
        <f aca="false">IF(タスク!$D111="","",タスク!$H111)</f>
        <v/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"/>
      <c r="CB113" s="2"/>
      <c r="CC113" s="2"/>
      <c r="CD113" s="2"/>
    </row>
    <row r="114" customFormat="false" ht="15" hidden="false" customHeight="false" outlineLevel="0" collapsed="false">
      <c r="A114" s="25" t="str">
        <f aca="false">IF(タスク!$D112="","",タスク!$A112)</f>
        <v/>
      </c>
      <c r="B114" s="25" t="str">
        <f aca="false">IF(タスク!$D112="","",タスク!$C112)</f>
        <v/>
      </c>
      <c r="C114" s="25" t="str">
        <f aca="false">IF(タスク!$D112="","",タスク!$D112)</f>
        <v/>
      </c>
      <c r="D114" s="25" t="str">
        <f aca="false">IF(タスク!$D112="","",タスク!$E112)</f>
        <v/>
      </c>
      <c r="E114" s="26" t="str">
        <f aca="false">IF(タスク!$D112="","",IF(タスク!$F112="","",タスク!$F112))</f>
        <v/>
      </c>
      <c r="F114" s="26" t="str">
        <f aca="false">IF(タスク!$D112="","",IF(タスク!$G112="","",タスク!$G112))</f>
        <v/>
      </c>
      <c r="G114" s="27" t="str">
        <f aca="false">IF(タスク!$D112="","",IF(タスク!$H112="完了",1,IF(タスク!$I112="",0,タスク!$I112)))</f>
        <v/>
      </c>
      <c r="H114" s="25" t="str">
        <f aca="false">IF(タスク!$D112="","",タスク!$H112)</f>
        <v/>
      </c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"/>
      <c r="CB114" s="2"/>
      <c r="CC114" s="2"/>
      <c r="CD114" s="2"/>
    </row>
    <row r="115" customFormat="false" ht="15" hidden="false" customHeight="false" outlineLevel="0" collapsed="false">
      <c r="A115" s="25" t="str">
        <f aca="false">IF(タスク!$D113="","",タスク!$A113)</f>
        <v/>
      </c>
      <c r="B115" s="25" t="str">
        <f aca="false">IF(タスク!$D113="","",タスク!$C113)</f>
        <v/>
      </c>
      <c r="C115" s="25" t="str">
        <f aca="false">IF(タスク!$D113="","",タスク!$D113)</f>
        <v/>
      </c>
      <c r="D115" s="25" t="str">
        <f aca="false">IF(タスク!$D113="","",タスク!$E113)</f>
        <v/>
      </c>
      <c r="E115" s="26" t="str">
        <f aca="false">IF(タスク!$D113="","",IF(タスク!$F113="","",タスク!$F113))</f>
        <v/>
      </c>
      <c r="F115" s="26" t="str">
        <f aca="false">IF(タスク!$D113="","",IF(タスク!$G113="","",タスク!$G113))</f>
        <v/>
      </c>
      <c r="G115" s="27" t="str">
        <f aca="false">IF(タスク!$D113="","",IF(タスク!$H113="完了",1,IF(タスク!$I113="",0,タスク!$I113)))</f>
        <v/>
      </c>
      <c r="H115" s="25" t="str">
        <f aca="false">IF(タスク!$D113="","",タスク!$H113)</f>
        <v/>
      </c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"/>
      <c r="CB115" s="2"/>
      <c r="CC115" s="2"/>
      <c r="CD115" s="2"/>
    </row>
    <row r="116" customFormat="false" ht="15" hidden="false" customHeight="false" outlineLevel="0" collapsed="false">
      <c r="A116" s="25" t="str">
        <f aca="false">IF(タスク!$D114="","",タスク!$A114)</f>
        <v/>
      </c>
      <c r="B116" s="25" t="str">
        <f aca="false">IF(タスク!$D114="","",タスク!$C114)</f>
        <v/>
      </c>
      <c r="C116" s="25" t="str">
        <f aca="false">IF(タスク!$D114="","",タスク!$D114)</f>
        <v/>
      </c>
      <c r="D116" s="25" t="str">
        <f aca="false">IF(タスク!$D114="","",タスク!$E114)</f>
        <v/>
      </c>
      <c r="E116" s="26" t="str">
        <f aca="false">IF(タスク!$D114="","",IF(タスク!$F114="","",タスク!$F114))</f>
        <v/>
      </c>
      <c r="F116" s="26" t="str">
        <f aca="false">IF(タスク!$D114="","",IF(タスク!$G114="","",タスク!$G114))</f>
        <v/>
      </c>
      <c r="G116" s="27" t="str">
        <f aca="false">IF(タスク!$D114="","",IF(タスク!$H114="完了",1,IF(タスク!$I114="",0,タスク!$I114)))</f>
        <v/>
      </c>
      <c r="H116" s="25" t="str">
        <f aca="false">IF(タスク!$D114="","",タスク!$H114)</f>
        <v/>
      </c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"/>
      <c r="CB116" s="2"/>
      <c r="CC116" s="2"/>
      <c r="CD116" s="2"/>
    </row>
    <row r="117" customFormat="false" ht="15" hidden="false" customHeight="false" outlineLevel="0" collapsed="false">
      <c r="A117" s="25" t="str">
        <f aca="false">IF(タスク!$D115="","",タスク!$A115)</f>
        <v/>
      </c>
      <c r="B117" s="25" t="str">
        <f aca="false">IF(タスク!$D115="","",タスク!$C115)</f>
        <v/>
      </c>
      <c r="C117" s="25" t="str">
        <f aca="false">IF(タスク!$D115="","",タスク!$D115)</f>
        <v/>
      </c>
      <c r="D117" s="25" t="str">
        <f aca="false">IF(タスク!$D115="","",タスク!$E115)</f>
        <v/>
      </c>
      <c r="E117" s="26" t="str">
        <f aca="false">IF(タスク!$D115="","",IF(タスク!$F115="","",タスク!$F115))</f>
        <v/>
      </c>
      <c r="F117" s="26" t="str">
        <f aca="false">IF(タスク!$D115="","",IF(タスク!$G115="","",タスク!$G115))</f>
        <v/>
      </c>
      <c r="G117" s="27" t="str">
        <f aca="false">IF(タスク!$D115="","",IF(タスク!$H115="完了",1,IF(タスク!$I115="",0,タスク!$I115)))</f>
        <v/>
      </c>
      <c r="H117" s="25" t="str">
        <f aca="false">IF(タスク!$D115="","",タスク!$H115)</f>
        <v/>
      </c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"/>
      <c r="CB117" s="2"/>
      <c r="CC117" s="2"/>
      <c r="CD117" s="2"/>
    </row>
    <row r="118" customFormat="false" ht="15" hidden="false" customHeight="false" outlineLevel="0" collapsed="false">
      <c r="A118" s="25" t="str">
        <f aca="false">IF(タスク!$D116="","",タスク!$A116)</f>
        <v/>
      </c>
      <c r="B118" s="25" t="str">
        <f aca="false">IF(タスク!$D116="","",タスク!$C116)</f>
        <v/>
      </c>
      <c r="C118" s="25" t="str">
        <f aca="false">IF(タスク!$D116="","",タスク!$D116)</f>
        <v/>
      </c>
      <c r="D118" s="25" t="str">
        <f aca="false">IF(タスク!$D116="","",タスク!$E116)</f>
        <v/>
      </c>
      <c r="E118" s="26" t="str">
        <f aca="false">IF(タスク!$D116="","",IF(タスク!$F116="","",タスク!$F116))</f>
        <v/>
      </c>
      <c r="F118" s="26" t="str">
        <f aca="false">IF(タスク!$D116="","",IF(タスク!$G116="","",タスク!$G116))</f>
        <v/>
      </c>
      <c r="G118" s="27" t="str">
        <f aca="false">IF(タスク!$D116="","",IF(タスク!$H116="完了",1,IF(タスク!$I116="",0,タスク!$I116)))</f>
        <v/>
      </c>
      <c r="H118" s="25" t="str">
        <f aca="false">IF(タスク!$D116="","",タスク!$H116)</f>
        <v/>
      </c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"/>
      <c r="CB118" s="2"/>
      <c r="CC118" s="2"/>
      <c r="CD118" s="2"/>
    </row>
    <row r="119" customFormat="false" ht="15" hidden="false" customHeight="false" outlineLevel="0" collapsed="false">
      <c r="A119" s="25" t="str">
        <f aca="false">IF(タスク!$D117="","",タスク!$A117)</f>
        <v/>
      </c>
      <c r="B119" s="25" t="str">
        <f aca="false">IF(タスク!$D117="","",タスク!$C117)</f>
        <v/>
      </c>
      <c r="C119" s="25" t="str">
        <f aca="false">IF(タスク!$D117="","",タスク!$D117)</f>
        <v/>
      </c>
      <c r="D119" s="25" t="str">
        <f aca="false">IF(タスク!$D117="","",タスク!$E117)</f>
        <v/>
      </c>
      <c r="E119" s="26" t="str">
        <f aca="false">IF(タスク!$D117="","",IF(タスク!$F117="","",タスク!$F117))</f>
        <v/>
      </c>
      <c r="F119" s="26" t="str">
        <f aca="false">IF(タスク!$D117="","",IF(タスク!$G117="","",タスク!$G117))</f>
        <v/>
      </c>
      <c r="G119" s="27" t="str">
        <f aca="false">IF(タスク!$D117="","",IF(タスク!$H117="完了",1,IF(タスク!$I117="",0,タスク!$I117)))</f>
        <v/>
      </c>
      <c r="H119" s="25" t="str">
        <f aca="false">IF(タスク!$D117="","",タスク!$H117)</f>
        <v/>
      </c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"/>
      <c r="CB119" s="2"/>
      <c r="CC119" s="2"/>
      <c r="CD119" s="2"/>
    </row>
    <row r="120" customFormat="false" ht="15" hidden="false" customHeight="false" outlineLevel="0" collapsed="false">
      <c r="A120" s="25" t="str">
        <f aca="false">IF(タスク!$D118="","",タスク!$A118)</f>
        <v/>
      </c>
      <c r="B120" s="25" t="str">
        <f aca="false">IF(タスク!$D118="","",タスク!$C118)</f>
        <v/>
      </c>
      <c r="C120" s="25" t="str">
        <f aca="false">IF(タスク!$D118="","",タスク!$D118)</f>
        <v/>
      </c>
      <c r="D120" s="25" t="str">
        <f aca="false">IF(タスク!$D118="","",タスク!$E118)</f>
        <v/>
      </c>
      <c r="E120" s="26" t="str">
        <f aca="false">IF(タスク!$D118="","",IF(タスク!$F118="","",タスク!$F118))</f>
        <v/>
      </c>
      <c r="F120" s="26" t="str">
        <f aca="false">IF(タスク!$D118="","",IF(タスク!$G118="","",タスク!$G118))</f>
        <v/>
      </c>
      <c r="G120" s="27" t="str">
        <f aca="false">IF(タスク!$D118="","",IF(タスク!$H118="完了",1,IF(タスク!$I118="",0,タスク!$I118)))</f>
        <v/>
      </c>
      <c r="H120" s="25" t="str">
        <f aca="false">IF(タスク!$D118="","",タスク!$H118)</f>
        <v/>
      </c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"/>
      <c r="CB120" s="2"/>
      <c r="CC120" s="2"/>
      <c r="CD120" s="2"/>
    </row>
    <row r="121" customFormat="false" ht="15" hidden="false" customHeight="false" outlineLevel="0" collapsed="false">
      <c r="A121" s="25" t="str">
        <f aca="false">IF(タスク!$D119="","",タスク!$A119)</f>
        <v/>
      </c>
      <c r="B121" s="25" t="str">
        <f aca="false">IF(タスク!$D119="","",タスク!$C119)</f>
        <v/>
      </c>
      <c r="C121" s="25" t="str">
        <f aca="false">IF(タスク!$D119="","",タスク!$D119)</f>
        <v/>
      </c>
      <c r="D121" s="25" t="str">
        <f aca="false">IF(タスク!$D119="","",タスク!$E119)</f>
        <v/>
      </c>
      <c r="E121" s="26" t="str">
        <f aca="false">IF(タスク!$D119="","",IF(タスク!$F119="","",タスク!$F119))</f>
        <v/>
      </c>
      <c r="F121" s="26" t="str">
        <f aca="false">IF(タスク!$D119="","",IF(タスク!$G119="","",タスク!$G119))</f>
        <v/>
      </c>
      <c r="G121" s="27" t="str">
        <f aca="false">IF(タスク!$D119="","",IF(タスク!$H119="完了",1,IF(タスク!$I119="",0,タスク!$I119)))</f>
        <v/>
      </c>
      <c r="H121" s="25" t="str">
        <f aca="false">IF(タスク!$D119="","",タスク!$H119)</f>
        <v/>
      </c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"/>
      <c r="CB121" s="2"/>
      <c r="CC121" s="2"/>
      <c r="CD121" s="2"/>
    </row>
    <row r="122" customFormat="false" ht="15" hidden="false" customHeight="false" outlineLevel="0" collapsed="false">
      <c r="A122" s="25" t="str">
        <f aca="false">IF(タスク!$D120="","",タスク!$A120)</f>
        <v/>
      </c>
      <c r="B122" s="25" t="str">
        <f aca="false">IF(タスク!$D120="","",タスク!$C120)</f>
        <v/>
      </c>
      <c r="C122" s="25" t="str">
        <f aca="false">IF(タスク!$D120="","",タスク!$D120)</f>
        <v/>
      </c>
      <c r="D122" s="25" t="str">
        <f aca="false">IF(タスク!$D120="","",タスク!$E120)</f>
        <v/>
      </c>
      <c r="E122" s="26" t="str">
        <f aca="false">IF(タスク!$D120="","",IF(タスク!$F120="","",タスク!$F120))</f>
        <v/>
      </c>
      <c r="F122" s="26" t="str">
        <f aca="false">IF(タスク!$D120="","",IF(タスク!$G120="","",タスク!$G120))</f>
        <v/>
      </c>
      <c r="G122" s="27" t="str">
        <f aca="false">IF(タスク!$D120="","",IF(タスク!$H120="完了",1,IF(タスク!$I120="",0,タスク!$I120)))</f>
        <v/>
      </c>
      <c r="H122" s="25" t="str">
        <f aca="false">IF(タスク!$D120="","",タスク!$H120)</f>
        <v/>
      </c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"/>
      <c r="CB122" s="2"/>
      <c r="CC122" s="2"/>
      <c r="CD122" s="2"/>
    </row>
    <row r="123" customFormat="false" ht="15" hidden="false" customHeight="false" outlineLevel="0" collapsed="false">
      <c r="A123" s="25" t="str">
        <f aca="false">IF(タスク!$D121="","",タスク!$A121)</f>
        <v/>
      </c>
      <c r="B123" s="25" t="str">
        <f aca="false">IF(タスク!$D121="","",タスク!$C121)</f>
        <v/>
      </c>
      <c r="C123" s="25" t="str">
        <f aca="false">IF(タスク!$D121="","",タスク!$D121)</f>
        <v/>
      </c>
      <c r="D123" s="25" t="str">
        <f aca="false">IF(タスク!$D121="","",タスク!$E121)</f>
        <v/>
      </c>
      <c r="E123" s="26" t="str">
        <f aca="false">IF(タスク!$D121="","",IF(タスク!$F121="","",タスク!$F121))</f>
        <v/>
      </c>
      <c r="F123" s="26" t="str">
        <f aca="false">IF(タスク!$D121="","",IF(タスク!$G121="","",タスク!$G121))</f>
        <v/>
      </c>
      <c r="G123" s="27" t="str">
        <f aca="false">IF(タスク!$D121="","",IF(タスク!$H121="完了",1,IF(タスク!$I121="",0,タスク!$I121)))</f>
        <v/>
      </c>
      <c r="H123" s="25" t="str">
        <f aca="false">IF(タスク!$D121="","",タスク!$H121)</f>
        <v/>
      </c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"/>
      <c r="CB123" s="2"/>
      <c r="CC123" s="2"/>
      <c r="CD123" s="2"/>
    </row>
    <row r="124" customFormat="false" ht="15" hidden="false" customHeight="false" outlineLevel="0" collapsed="false">
      <c r="A124" s="25" t="str">
        <f aca="false">IF(タスク!$D122="","",タスク!$A122)</f>
        <v/>
      </c>
      <c r="B124" s="25" t="str">
        <f aca="false">IF(タスク!$D122="","",タスク!$C122)</f>
        <v/>
      </c>
      <c r="C124" s="25" t="str">
        <f aca="false">IF(タスク!$D122="","",タスク!$D122)</f>
        <v/>
      </c>
      <c r="D124" s="25" t="str">
        <f aca="false">IF(タスク!$D122="","",タスク!$E122)</f>
        <v/>
      </c>
      <c r="E124" s="26" t="str">
        <f aca="false">IF(タスク!$D122="","",IF(タスク!$F122="","",タスク!$F122))</f>
        <v/>
      </c>
      <c r="F124" s="26" t="str">
        <f aca="false">IF(タスク!$D122="","",IF(タスク!$G122="","",タスク!$G122))</f>
        <v/>
      </c>
      <c r="G124" s="27" t="str">
        <f aca="false">IF(タスク!$D122="","",IF(タスク!$H122="完了",1,IF(タスク!$I122="",0,タスク!$I122)))</f>
        <v/>
      </c>
      <c r="H124" s="25" t="str">
        <f aca="false">IF(タスク!$D122="","",タスク!$H122)</f>
        <v/>
      </c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"/>
      <c r="CB124" s="2"/>
      <c r="CC124" s="2"/>
      <c r="CD124" s="2"/>
    </row>
    <row r="125" customFormat="false" ht="15" hidden="false" customHeight="false" outlineLevel="0" collapsed="false">
      <c r="A125" s="25" t="str">
        <f aca="false">IF(タスク!$D123="","",タスク!$A123)</f>
        <v/>
      </c>
      <c r="B125" s="25" t="str">
        <f aca="false">IF(タスク!$D123="","",タスク!$C123)</f>
        <v/>
      </c>
      <c r="C125" s="25" t="str">
        <f aca="false">IF(タスク!$D123="","",タスク!$D123)</f>
        <v/>
      </c>
      <c r="D125" s="25" t="str">
        <f aca="false">IF(タスク!$D123="","",タスク!$E123)</f>
        <v/>
      </c>
      <c r="E125" s="26" t="str">
        <f aca="false">IF(タスク!$D123="","",IF(タスク!$F123="","",タスク!$F123))</f>
        <v/>
      </c>
      <c r="F125" s="26" t="str">
        <f aca="false">IF(タスク!$D123="","",IF(タスク!$G123="","",タスク!$G123))</f>
        <v/>
      </c>
      <c r="G125" s="27" t="str">
        <f aca="false">IF(タスク!$D123="","",IF(タスク!$H123="完了",1,IF(タスク!$I123="",0,タスク!$I123)))</f>
        <v/>
      </c>
      <c r="H125" s="25" t="str">
        <f aca="false">IF(タスク!$D123="","",タスク!$H123)</f>
        <v/>
      </c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"/>
      <c r="CB125" s="2"/>
      <c r="CC125" s="2"/>
      <c r="CD125" s="2"/>
    </row>
    <row r="126" customFormat="false" ht="15" hidden="false" customHeight="false" outlineLevel="0" collapsed="false">
      <c r="A126" s="25" t="str">
        <f aca="false">IF(タスク!$D124="","",タスク!$A124)</f>
        <v/>
      </c>
      <c r="B126" s="25" t="str">
        <f aca="false">IF(タスク!$D124="","",タスク!$C124)</f>
        <v/>
      </c>
      <c r="C126" s="25" t="str">
        <f aca="false">IF(タスク!$D124="","",タスク!$D124)</f>
        <v/>
      </c>
      <c r="D126" s="25" t="str">
        <f aca="false">IF(タスク!$D124="","",タスク!$E124)</f>
        <v/>
      </c>
      <c r="E126" s="26" t="str">
        <f aca="false">IF(タスク!$D124="","",IF(タスク!$F124="","",タスク!$F124))</f>
        <v/>
      </c>
      <c r="F126" s="26" t="str">
        <f aca="false">IF(タスク!$D124="","",IF(タスク!$G124="","",タスク!$G124))</f>
        <v/>
      </c>
      <c r="G126" s="27" t="str">
        <f aca="false">IF(タスク!$D124="","",IF(タスク!$H124="完了",1,IF(タスク!$I124="",0,タスク!$I124)))</f>
        <v/>
      </c>
      <c r="H126" s="25" t="str">
        <f aca="false">IF(タスク!$D124="","",タスク!$H124)</f>
        <v/>
      </c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"/>
      <c r="CB126" s="2"/>
      <c r="CC126" s="2"/>
      <c r="CD126" s="2"/>
    </row>
    <row r="127" customFormat="false" ht="15" hidden="false" customHeight="false" outlineLevel="0" collapsed="false">
      <c r="A127" s="25" t="str">
        <f aca="false">IF(タスク!$D125="","",タスク!$A125)</f>
        <v/>
      </c>
      <c r="B127" s="25" t="str">
        <f aca="false">IF(タスク!$D125="","",タスク!$C125)</f>
        <v/>
      </c>
      <c r="C127" s="25" t="str">
        <f aca="false">IF(タスク!$D125="","",タスク!$D125)</f>
        <v/>
      </c>
      <c r="D127" s="25" t="str">
        <f aca="false">IF(タスク!$D125="","",タスク!$E125)</f>
        <v/>
      </c>
      <c r="E127" s="26" t="str">
        <f aca="false">IF(タスク!$D125="","",IF(タスク!$F125="","",タスク!$F125))</f>
        <v/>
      </c>
      <c r="F127" s="26" t="str">
        <f aca="false">IF(タスク!$D125="","",IF(タスク!$G125="","",タスク!$G125))</f>
        <v/>
      </c>
      <c r="G127" s="27" t="str">
        <f aca="false">IF(タスク!$D125="","",IF(タスク!$H125="完了",1,IF(タスク!$I125="",0,タスク!$I125)))</f>
        <v/>
      </c>
      <c r="H127" s="25" t="str">
        <f aca="false">IF(タスク!$D125="","",タスク!$H125)</f>
        <v/>
      </c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"/>
      <c r="CB127" s="2"/>
      <c r="CC127" s="2"/>
      <c r="CD127" s="2"/>
    </row>
    <row r="128" customFormat="false" ht="15" hidden="false" customHeight="false" outlineLevel="0" collapsed="false">
      <c r="A128" s="25" t="str">
        <f aca="false">IF(タスク!$D126="","",タスク!$A126)</f>
        <v/>
      </c>
      <c r="B128" s="25" t="str">
        <f aca="false">IF(タスク!$D126="","",タスク!$C126)</f>
        <v/>
      </c>
      <c r="C128" s="25" t="str">
        <f aca="false">IF(タスク!$D126="","",タスク!$D126)</f>
        <v/>
      </c>
      <c r="D128" s="25" t="str">
        <f aca="false">IF(タスク!$D126="","",タスク!$E126)</f>
        <v/>
      </c>
      <c r="E128" s="26" t="str">
        <f aca="false">IF(タスク!$D126="","",IF(タスク!$F126="","",タスク!$F126))</f>
        <v/>
      </c>
      <c r="F128" s="26" t="str">
        <f aca="false">IF(タスク!$D126="","",IF(タスク!$G126="","",タスク!$G126))</f>
        <v/>
      </c>
      <c r="G128" s="27" t="str">
        <f aca="false">IF(タスク!$D126="","",IF(タスク!$H126="完了",1,IF(タスク!$I126="",0,タスク!$I126)))</f>
        <v/>
      </c>
      <c r="H128" s="25" t="str">
        <f aca="false">IF(タスク!$D126="","",タスク!$H126)</f>
        <v/>
      </c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"/>
      <c r="CB128" s="2"/>
      <c r="CC128" s="2"/>
      <c r="CD128" s="2"/>
    </row>
    <row r="129" customFormat="false" ht="15" hidden="false" customHeight="false" outlineLevel="0" collapsed="false">
      <c r="A129" s="25" t="str">
        <f aca="false">IF(タスク!$D127="","",タスク!$A127)</f>
        <v/>
      </c>
      <c r="B129" s="25" t="str">
        <f aca="false">IF(タスク!$D127="","",タスク!$C127)</f>
        <v/>
      </c>
      <c r="C129" s="25" t="str">
        <f aca="false">IF(タスク!$D127="","",タスク!$D127)</f>
        <v/>
      </c>
      <c r="D129" s="25" t="str">
        <f aca="false">IF(タスク!$D127="","",タスク!$E127)</f>
        <v/>
      </c>
      <c r="E129" s="26" t="str">
        <f aca="false">IF(タスク!$D127="","",IF(タスク!$F127="","",タスク!$F127))</f>
        <v/>
      </c>
      <c r="F129" s="26" t="str">
        <f aca="false">IF(タスク!$D127="","",IF(タスク!$G127="","",タスク!$G127))</f>
        <v/>
      </c>
      <c r="G129" s="27" t="str">
        <f aca="false">IF(タスク!$D127="","",IF(タスク!$H127="完了",1,IF(タスク!$I127="",0,タスク!$I127)))</f>
        <v/>
      </c>
      <c r="H129" s="25" t="str">
        <f aca="false">IF(タスク!$D127="","",タスク!$H127)</f>
        <v/>
      </c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"/>
      <c r="CB129" s="2"/>
      <c r="CC129" s="2"/>
      <c r="CD129" s="2"/>
    </row>
    <row r="130" customFormat="false" ht="15" hidden="false" customHeight="false" outlineLevel="0" collapsed="false">
      <c r="A130" s="25" t="str">
        <f aca="false">IF(タスク!$D128="","",タスク!$A128)</f>
        <v/>
      </c>
      <c r="B130" s="25" t="str">
        <f aca="false">IF(タスク!$D128="","",タスク!$C128)</f>
        <v/>
      </c>
      <c r="C130" s="25" t="str">
        <f aca="false">IF(タスク!$D128="","",タスク!$D128)</f>
        <v/>
      </c>
      <c r="D130" s="25" t="str">
        <f aca="false">IF(タスク!$D128="","",タスク!$E128)</f>
        <v/>
      </c>
      <c r="E130" s="26" t="str">
        <f aca="false">IF(タスク!$D128="","",IF(タスク!$F128="","",タスク!$F128))</f>
        <v/>
      </c>
      <c r="F130" s="26" t="str">
        <f aca="false">IF(タスク!$D128="","",IF(タスク!$G128="","",タスク!$G128))</f>
        <v/>
      </c>
      <c r="G130" s="27" t="str">
        <f aca="false">IF(タスク!$D128="","",IF(タスク!$H128="完了",1,IF(タスク!$I128="",0,タスク!$I128)))</f>
        <v/>
      </c>
      <c r="H130" s="25" t="str">
        <f aca="false">IF(タスク!$D128="","",タスク!$H128)</f>
        <v/>
      </c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"/>
      <c r="CB130" s="2"/>
      <c r="CC130" s="2"/>
      <c r="CD130" s="2"/>
    </row>
    <row r="131" customFormat="false" ht="15" hidden="false" customHeight="false" outlineLevel="0" collapsed="false">
      <c r="A131" s="25" t="str">
        <f aca="false">IF(タスク!$D129="","",タスク!$A129)</f>
        <v/>
      </c>
      <c r="B131" s="25" t="str">
        <f aca="false">IF(タスク!$D129="","",タスク!$C129)</f>
        <v/>
      </c>
      <c r="C131" s="25" t="str">
        <f aca="false">IF(タスク!$D129="","",タスク!$D129)</f>
        <v/>
      </c>
      <c r="D131" s="25" t="str">
        <f aca="false">IF(タスク!$D129="","",タスク!$E129)</f>
        <v/>
      </c>
      <c r="E131" s="26" t="str">
        <f aca="false">IF(タスク!$D129="","",IF(タスク!$F129="","",タスク!$F129))</f>
        <v/>
      </c>
      <c r="F131" s="26" t="str">
        <f aca="false">IF(タスク!$D129="","",IF(タスク!$G129="","",タスク!$G129))</f>
        <v/>
      </c>
      <c r="G131" s="27" t="str">
        <f aca="false">IF(タスク!$D129="","",IF(タスク!$H129="完了",1,IF(タスク!$I129="",0,タスク!$I129)))</f>
        <v/>
      </c>
      <c r="H131" s="25" t="str">
        <f aca="false">IF(タスク!$D129="","",タスク!$H129)</f>
        <v/>
      </c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"/>
      <c r="CB131" s="2"/>
      <c r="CC131" s="2"/>
      <c r="CD131" s="2"/>
    </row>
    <row r="132" customFormat="false" ht="15" hidden="false" customHeight="false" outlineLevel="0" collapsed="false">
      <c r="A132" s="25" t="str">
        <f aca="false">IF(タスク!$D130="","",タスク!$A130)</f>
        <v/>
      </c>
      <c r="B132" s="25" t="str">
        <f aca="false">IF(タスク!$D130="","",タスク!$C130)</f>
        <v/>
      </c>
      <c r="C132" s="25" t="str">
        <f aca="false">IF(タスク!$D130="","",タスク!$D130)</f>
        <v/>
      </c>
      <c r="D132" s="25" t="str">
        <f aca="false">IF(タスク!$D130="","",タスク!$E130)</f>
        <v/>
      </c>
      <c r="E132" s="26" t="str">
        <f aca="false">IF(タスク!$D130="","",IF(タスク!$F130="","",タスク!$F130))</f>
        <v/>
      </c>
      <c r="F132" s="26" t="str">
        <f aca="false">IF(タスク!$D130="","",IF(タスク!$G130="","",タスク!$G130))</f>
        <v/>
      </c>
      <c r="G132" s="27" t="str">
        <f aca="false">IF(タスク!$D130="","",IF(タスク!$H130="完了",1,IF(タスク!$I130="",0,タスク!$I130)))</f>
        <v/>
      </c>
      <c r="H132" s="25" t="str">
        <f aca="false">IF(タスク!$D130="","",タスク!$H130)</f>
        <v/>
      </c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"/>
      <c r="CB132" s="2"/>
      <c r="CC132" s="2"/>
      <c r="CD132" s="2"/>
    </row>
    <row r="133" customFormat="false" ht="15" hidden="false" customHeight="false" outlineLevel="0" collapsed="false">
      <c r="A133" s="25" t="str">
        <f aca="false">IF(タスク!$D131="","",タスク!$A131)</f>
        <v/>
      </c>
      <c r="B133" s="25" t="str">
        <f aca="false">IF(タスク!$D131="","",タスク!$C131)</f>
        <v/>
      </c>
      <c r="C133" s="25" t="str">
        <f aca="false">IF(タスク!$D131="","",タスク!$D131)</f>
        <v/>
      </c>
      <c r="D133" s="25" t="str">
        <f aca="false">IF(タスク!$D131="","",タスク!$E131)</f>
        <v/>
      </c>
      <c r="E133" s="26" t="str">
        <f aca="false">IF(タスク!$D131="","",IF(タスク!$F131="","",タスク!$F131))</f>
        <v/>
      </c>
      <c r="F133" s="26" t="str">
        <f aca="false">IF(タスク!$D131="","",IF(タスク!$G131="","",タスク!$G131))</f>
        <v/>
      </c>
      <c r="G133" s="27" t="str">
        <f aca="false">IF(タスク!$D131="","",IF(タスク!$H131="完了",1,IF(タスク!$I131="",0,タスク!$I131)))</f>
        <v/>
      </c>
      <c r="H133" s="25" t="str">
        <f aca="false">IF(タスク!$D131="","",タスク!$H131)</f>
        <v/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"/>
      <c r="CB133" s="2"/>
      <c r="CC133" s="2"/>
      <c r="CD133" s="2"/>
    </row>
    <row r="134" customFormat="false" ht="15" hidden="false" customHeight="false" outlineLevel="0" collapsed="false">
      <c r="A134" s="25" t="str">
        <f aca="false">IF(タスク!$D132="","",タスク!$A132)</f>
        <v/>
      </c>
      <c r="B134" s="25" t="str">
        <f aca="false">IF(タスク!$D132="","",タスク!$C132)</f>
        <v/>
      </c>
      <c r="C134" s="25" t="str">
        <f aca="false">IF(タスク!$D132="","",タスク!$D132)</f>
        <v/>
      </c>
      <c r="D134" s="25" t="str">
        <f aca="false">IF(タスク!$D132="","",タスク!$E132)</f>
        <v/>
      </c>
      <c r="E134" s="26" t="str">
        <f aca="false">IF(タスク!$D132="","",IF(タスク!$F132="","",タスク!$F132))</f>
        <v/>
      </c>
      <c r="F134" s="26" t="str">
        <f aca="false">IF(タスク!$D132="","",IF(タスク!$G132="","",タスク!$G132))</f>
        <v/>
      </c>
      <c r="G134" s="27" t="str">
        <f aca="false">IF(タスク!$D132="","",IF(タスク!$H132="完了",1,IF(タスク!$I132="",0,タスク!$I132)))</f>
        <v/>
      </c>
      <c r="H134" s="25" t="str">
        <f aca="false">IF(タスク!$D132="","",タスク!$H132)</f>
        <v/>
      </c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"/>
      <c r="CB134" s="2"/>
      <c r="CC134" s="2"/>
      <c r="CD134" s="2"/>
    </row>
    <row r="135" customFormat="false" ht="15" hidden="false" customHeight="false" outlineLevel="0" collapsed="false">
      <c r="A135" s="25" t="str">
        <f aca="false">IF(タスク!$D133="","",タスク!$A133)</f>
        <v/>
      </c>
      <c r="B135" s="25" t="str">
        <f aca="false">IF(タスク!$D133="","",タスク!$C133)</f>
        <v/>
      </c>
      <c r="C135" s="25" t="str">
        <f aca="false">IF(タスク!$D133="","",タスク!$D133)</f>
        <v/>
      </c>
      <c r="D135" s="25" t="str">
        <f aca="false">IF(タスク!$D133="","",タスク!$E133)</f>
        <v/>
      </c>
      <c r="E135" s="26" t="str">
        <f aca="false">IF(タスク!$D133="","",IF(タスク!$F133="","",タスク!$F133))</f>
        <v/>
      </c>
      <c r="F135" s="26" t="str">
        <f aca="false">IF(タスク!$D133="","",IF(タスク!$G133="","",タスク!$G133))</f>
        <v/>
      </c>
      <c r="G135" s="27" t="str">
        <f aca="false">IF(タスク!$D133="","",IF(タスク!$H133="完了",1,IF(タスク!$I133="",0,タスク!$I133)))</f>
        <v/>
      </c>
      <c r="H135" s="25" t="str">
        <f aca="false">IF(タスク!$D133="","",タスク!$H133)</f>
        <v/>
      </c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"/>
      <c r="CB135" s="2"/>
      <c r="CC135" s="2"/>
      <c r="CD135" s="2"/>
    </row>
    <row r="136" customFormat="false" ht="15" hidden="false" customHeight="false" outlineLevel="0" collapsed="false">
      <c r="A136" s="25" t="str">
        <f aca="false">IF(タスク!$D134="","",タスク!$A134)</f>
        <v/>
      </c>
      <c r="B136" s="25" t="str">
        <f aca="false">IF(タスク!$D134="","",タスク!$C134)</f>
        <v/>
      </c>
      <c r="C136" s="25" t="str">
        <f aca="false">IF(タスク!$D134="","",タスク!$D134)</f>
        <v/>
      </c>
      <c r="D136" s="25" t="str">
        <f aca="false">IF(タスク!$D134="","",タスク!$E134)</f>
        <v/>
      </c>
      <c r="E136" s="26" t="str">
        <f aca="false">IF(タスク!$D134="","",IF(タスク!$F134="","",タスク!$F134))</f>
        <v/>
      </c>
      <c r="F136" s="26" t="str">
        <f aca="false">IF(タスク!$D134="","",IF(タスク!$G134="","",タスク!$G134))</f>
        <v/>
      </c>
      <c r="G136" s="27" t="str">
        <f aca="false">IF(タスク!$D134="","",IF(タスク!$H134="完了",1,IF(タスク!$I134="",0,タスク!$I134)))</f>
        <v/>
      </c>
      <c r="H136" s="25" t="str">
        <f aca="false">IF(タスク!$D134="","",タスク!$H134)</f>
        <v/>
      </c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"/>
      <c r="CB136" s="2"/>
      <c r="CC136" s="2"/>
      <c r="CD136" s="2"/>
    </row>
    <row r="137" customFormat="false" ht="15" hidden="false" customHeight="false" outlineLevel="0" collapsed="false">
      <c r="A137" s="25" t="str">
        <f aca="false">IF(タスク!$D135="","",タスク!$A135)</f>
        <v/>
      </c>
      <c r="B137" s="25" t="str">
        <f aca="false">IF(タスク!$D135="","",タスク!$C135)</f>
        <v/>
      </c>
      <c r="C137" s="25" t="str">
        <f aca="false">IF(タスク!$D135="","",タスク!$D135)</f>
        <v/>
      </c>
      <c r="D137" s="25" t="str">
        <f aca="false">IF(タスク!$D135="","",タスク!$E135)</f>
        <v/>
      </c>
      <c r="E137" s="26" t="str">
        <f aca="false">IF(タスク!$D135="","",IF(タスク!$F135="","",タスク!$F135))</f>
        <v/>
      </c>
      <c r="F137" s="26" t="str">
        <f aca="false">IF(タスク!$D135="","",IF(タスク!$G135="","",タスク!$G135))</f>
        <v/>
      </c>
      <c r="G137" s="27" t="str">
        <f aca="false">IF(タスク!$D135="","",IF(タスク!$H135="完了",1,IF(タスク!$I135="",0,タスク!$I135)))</f>
        <v/>
      </c>
      <c r="H137" s="25" t="str">
        <f aca="false">IF(タスク!$D135="","",タスク!$H135)</f>
        <v/>
      </c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"/>
      <c r="CB137" s="2"/>
      <c r="CC137" s="2"/>
      <c r="CD137" s="2"/>
    </row>
    <row r="138" customFormat="false" ht="15" hidden="false" customHeight="false" outlineLevel="0" collapsed="false">
      <c r="A138" s="25" t="str">
        <f aca="false">IF(タスク!$D136="","",タスク!$A136)</f>
        <v/>
      </c>
      <c r="B138" s="25" t="str">
        <f aca="false">IF(タスク!$D136="","",タスク!$C136)</f>
        <v/>
      </c>
      <c r="C138" s="25" t="str">
        <f aca="false">IF(タスク!$D136="","",タスク!$D136)</f>
        <v/>
      </c>
      <c r="D138" s="25" t="str">
        <f aca="false">IF(タスク!$D136="","",タスク!$E136)</f>
        <v/>
      </c>
      <c r="E138" s="26" t="str">
        <f aca="false">IF(タスク!$D136="","",IF(タスク!$F136="","",タスク!$F136))</f>
        <v/>
      </c>
      <c r="F138" s="26" t="str">
        <f aca="false">IF(タスク!$D136="","",IF(タスク!$G136="","",タスク!$G136))</f>
        <v/>
      </c>
      <c r="G138" s="27" t="str">
        <f aca="false">IF(タスク!$D136="","",IF(タスク!$H136="完了",1,IF(タスク!$I136="",0,タスク!$I136)))</f>
        <v/>
      </c>
      <c r="H138" s="25" t="str">
        <f aca="false">IF(タスク!$D136="","",タスク!$H136)</f>
        <v/>
      </c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"/>
      <c r="CB138" s="2"/>
      <c r="CC138" s="2"/>
      <c r="CD138" s="2"/>
    </row>
    <row r="139" customFormat="false" ht="15" hidden="false" customHeight="false" outlineLevel="0" collapsed="false">
      <c r="A139" s="25" t="str">
        <f aca="false">IF(タスク!$D137="","",タスク!$A137)</f>
        <v/>
      </c>
      <c r="B139" s="25" t="str">
        <f aca="false">IF(タスク!$D137="","",タスク!$C137)</f>
        <v/>
      </c>
      <c r="C139" s="25" t="str">
        <f aca="false">IF(タスク!$D137="","",タスク!$D137)</f>
        <v/>
      </c>
      <c r="D139" s="25" t="str">
        <f aca="false">IF(タスク!$D137="","",タスク!$E137)</f>
        <v/>
      </c>
      <c r="E139" s="26" t="str">
        <f aca="false">IF(タスク!$D137="","",IF(タスク!$F137="","",タスク!$F137))</f>
        <v/>
      </c>
      <c r="F139" s="26" t="str">
        <f aca="false">IF(タスク!$D137="","",IF(タスク!$G137="","",タスク!$G137))</f>
        <v/>
      </c>
      <c r="G139" s="27" t="str">
        <f aca="false">IF(タスク!$D137="","",IF(タスク!$H137="完了",1,IF(タスク!$I137="",0,タスク!$I137)))</f>
        <v/>
      </c>
      <c r="H139" s="25" t="str">
        <f aca="false">IF(タスク!$D137="","",タスク!$H137)</f>
        <v/>
      </c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"/>
      <c r="CB139" s="2"/>
      <c r="CC139" s="2"/>
      <c r="CD139" s="2"/>
    </row>
    <row r="140" customFormat="false" ht="15" hidden="false" customHeight="false" outlineLevel="0" collapsed="false">
      <c r="A140" s="25" t="str">
        <f aca="false">IF(タスク!$D138="","",タスク!$A138)</f>
        <v/>
      </c>
      <c r="B140" s="25" t="str">
        <f aca="false">IF(タスク!$D138="","",タスク!$C138)</f>
        <v/>
      </c>
      <c r="C140" s="25" t="str">
        <f aca="false">IF(タスク!$D138="","",タスク!$D138)</f>
        <v/>
      </c>
      <c r="D140" s="25" t="str">
        <f aca="false">IF(タスク!$D138="","",タスク!$E138)</f>
        <v/>
      </c>
      <c r="E140" s="26" t="str">
        <f aca="false">IF(タスク!$D138="","",IF(タスク!$F138="","",タスク!$F138))</f>
        <v/>
      </c>
      <c r="F140" s="26" t="str">
        <f aca="false">IF(タスク!$D138="","",IF(タスク!$G138="","",タスク!$G138))</f>
        <v/>
      </c>
      <c r="G140" s="27" t="str">
        <f aca="false">IF(タスク!$D138="","",IF(タスク!$H138="完了",1,IF(タスク!$I138="",0,タスク!$I138)))</f>
        <v/>
      </c>
      <c r="H140" s="25" t="str">
        <f aca="false">IF(タスク!$D138="","",タスク!$H138)</f>
        <v/>
      </c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"/>
      <c r="CB140" s="2"/>
      <c r="CC140" s="2"/>
      <c r="CD140" s="2"/>
    </row>
    <row r="141" customFormat="false" ht="15" hidden="false" customHeight="false" outlineLevel="0" collapsed="false">
      <c r="A141" s="25" t="str">
        <f aca="false">IF(タスク!$D139="","",タスク!$A139)</f>
        <v/>
      </c>
      <c r="B141" s="25" t="str">
        <f aca="false">IF(タスク!$D139="","",タスク!$C139)</f>
        <v/>
      </c>
      <c r="C141" s="25" t="str">
        <f aca="false">IF(タスク!$D139="","",タスク!$D139)</f>
        <v/>
      </c>
      <c r="D141" s="25" t="str">
        <f aca="false">IF(タスク!$D139="","",タスク!$E139)</f>
        <v/>
      </c>
      <c r="E141" s="26" t="str">
        <f aca="false">IF(タスク!$D139="","",IF(タスク!$F139="","",タスク!$F139))</f>
        <v/>
      </c>
      <c r="F141" s="26" t="str">
        <f aca="false">IF(タスク!$D139="","",IF(タスク!$G139="","",タスク!$G139))</f>
        <v/>
      </c>
      <c r="G141" s="27" t="str">
        <f aca="false">IF(タスク!$D139="","",IF(タスク!$H139="完了",1,IF(タスク!$I139="",0,タスク!$I139)))</f>
        <v/>
      </c>
      <c r="H141" s="25" t="str">
        <f aca="false">IF(タスク!$D139="","",タスク!$H139)</f>
        <v/>
      </c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"/>
      <c r="CB141" s="2"/>
      <c r="CC141" s="2"/>
      <c r="CD141" s="2"/>
    </row>
    <row r="142" customFormat="false" ht="15" hidden="false" customHeight="false" outlineLevel="0" collapsed="false">
      <c r="A142" s="25" t="str">
        <f aca="false">IF(タスク!$D140="","",タスク!$A140)</f>
        <v/>
      </c>
      <c r="B142" s="25" t="str">
        <f aca="false">IF(タスク!$D140="","",タスク!$C140)</f>
        <v/>
      </c>
      <c r="C142" s="25" t="str">
        <f aca="false">IF(タスク!$D140="","",タスク!$D140)</f>
        <v/>
      </c>
      <c r="D142" s="25" t="str">
        <f aca="false">IF(タスク!$D140="","",タスク!$E140)</f>
        <v/>
      </c>
      <c r="E142" s="26" t="str">
        <f aca="false">IF(タスク!$D140="","",IF(タスク!$F140="","",タスク!$F140))</f>
        <v/>
      </c>
      <c r="F142" s="26" t="str">
        <f aca="false">IF(タスク!$D140="","",IF(タスク!$G140="","",タスク!$G140))</f>
        <v/>
      </c>
      <c r="G142" s="27" t="str">
        <f aca="false">IF(タスク!$D140="","",IF(タスク!$H140="完了",1,IF(タスク!$I140="",0,タスク!$I140)))</f>
        <v/>
      </c>
      <c r="H142" s="25" t="str">
        <f aca="false">IF(タスク!$D140="","",タスク!$H140)</f>
        <v/>
      </c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"/>
      <c r="CB142" s="2"/>
      <c r="CC142" s="2"/>
      <c r="CD142" s="2"/>
    </row>
    <row r="143" customFormat="false" ht="15" hidden="false" customHeight="false" outlineLevel="0" collapsed="false">
      <c r="A143" s="25" t="str">
        <f aca="false">IF(タスク!$D141="","",タスク!$A141)</f>
        <v/>
      </c>
      <c r="B143" s="25" t="str">
        <f aca="false">IF(タスク!$D141="","",タスク!$C141)</f>
        <v/>
      </c>
      <c r="C143" s="25" t="str">
        <f aca="false">IF(タスク!$D141="","",タスク!$D141)</f>
        <v/>
      </c>
      <c r="D143" s="25" t="str">
        <f aca="false">IF(タスク!$D141="","",タスク!$E141)</f>
        <v/>
      </c>
      <c r="E143" s="26" t="str">
        <f aca="false">IF(タスク!$D141="","",IF(タスク!$F141="","",タスク!$F141))</f>
        <v/>
      </c>
      <c r="F143" s="26" t="str">
        <f aca="false">IF(タスク!$D141="","",IF(タスク!$G141="","",タスク!$G141))</f>
        <v/>
      </c>
      <c r="G143" s="27" t="str">
        <f aca="false">IF(タスク!$D141="","",IF(タスク!$H141="完了",1,IF(タスク!$I141="",0,タスク!$I141)))</f>
        <v/>
      </c>
      <c r="H143" s="25" t="str">
        <f aca="false">IF(タスク!$D141="","",タスク!$H141)</f>
        <v/>
      </c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"/>
      <c r="CB143" s="2"/>
      <c r="CC143" s="2"/>
      <c r="CD143" s="2"/>
    </row>
    <row r="144" customFormat="false" ht="15" hidden="false" customHeight="false" outlineLevel="0" collapsed="false">
      <c r="A144" s="25" t="str">
        <f aca="false">IF(タスク!$D142="","",タスク!$A142)</f>
        <v/>
      </c>
      <c r="B144" s="25" t="str">
        <f aca="false">IF(タスク!$D142="","",タスク!$C142)</f>
        <v/>
      </c>
      <c r="C144" s="25" t="str">
        <f aca="false">IF(タスク!$D142="","",タスク!$D142)</f>
        <v/>
      </c>
      <c r="D144" s="25" t="str">
        <f aca="false">IF(タスク!$D142="","",タスク!$E142)</f>
        <v/>
      </c>
      <c r="E144" s="26" t="str">
        <f aca="false">IF(タスク!$D142="","",IF(タスク!$F142="","",タスク!$F142))</f>
        <v/>
      </c>
      <c r="F144" s="26" t="str">
        <f aca="false">IF(タスク!$D142="","",IF(タスク!$G142="","",タスク!$G142))</f>
        <v/>
      </c>
      <c r="G144" s="27" t="str">
        <f aca="false">IF(タスク!$D142="","",IF(タスク!$H142="完了",1,IF(タスク!$I142="",0,タスク!$I142)))</f>
        <v/>
      </c>
      <c r="H144" s="25" t="str">
        <f aca="false">IF(タスク!$D142="","",タスク!$H142)</f>
        <v/>
      </c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"/>
      <c r="CB144" s="2"/>
      <c r="CC144" s="2"/>
      <c r="CD144" s="2"/>
    </row>
    <row r="145" customFormat="false" ht="15" hidden="false" customHeight="false" outlineLevel="0" collapsed="false">
      <c r="A145" s="25" t="str">
        <f aca="false">IF(タスク!$D143="","",タスク!$A143)</f>
        <v/>
      </c>
      <c r="B145" s="25" t="str">
        <f aca="false">IF(タスク!$D143="","",タスク!$C143)</f>
        <v/>
      </c>
      <c r="C145" s="25" t="str">
        <f aca="false">IF(タスク!$D143="","",タスク!$D143)</f>
        <v/>
      </c>
      <c r="D145" s="25" t="str">
        <f aca="false">IF(タスク!$D143="","",タスク!$E143)</f>
        <v/>
      </c>
      <c r="E145" s="26" t="str">
        <f aca="false">IF(タスク!$D143="","",IF(タスク!$F143="","",タスク!$F143))</f>
        <v/>
      </c>
      <c r="F145" s="26" t="str">
        <f aca="false">IF(タスク!$D143="","",IF(タスク!$G143="","",タスク!$G143))</f>
        <v/>
      </c>
      <c r="G145" s="27" t="str">
        <f aca="false">IF(タスク!$D143="","",IF(タスク!$H143="完了",1,IF(タスク!$I143="",0,タスク!$I143)))</f>
        <v/>
      </c>
      <c r="H145" s="25" t="str">
        <f aca="false">IF(タスク!$D143="","",タスク!$H143)</f>
        <v/>
      </c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"/>
      <c r="CB145" s="2"/>
      <c r="CC145" s="2"/>
      <c r="CD145" s="2"/>
    </row>
    <row r="146" customFormat="false" ht="15" hidden="false" customHeight="false" outlineLevel="0" collapsed="false">
      <c r="A146" s="25" t="str">
        <f aca="false">IF(タスク!$D144="","",タスク!$A144)</f>
        <v/>
      </c>
      <c r="B146" s="25" t="str">
        <f aca="false">IF(タスク!$D144="","",タスク!$C144)</f>
        <v/>
      </c>
      <c r="C146" s="25" t="str">
        <f aca="false">IF(タスク!$D144="","",タスク!$D144)</f>
        <v/>
      </c>
      <c r="D146" s="25" t="str">
        <f aca="false">IF(タスク!$D144="","",タスク!$E144)</f>
        <v/>
      </c>
      <c r="E146" s="26" t="str">
        <f aca="false">IF(タスク!$D144="","",IF(タスク!$F144="","",タスク!$F144))</f>
        <v/>
      </c>
      <c r="F146" s="26" t="str">
        <f aca="false">IF(タスク!$D144="","",IF(タスク!$G144="","",タスク!$G144))</f>
        <v/>
      </c>
      <c r="G146" s="27" t="str">
        <f aca="false">IF(タスク!$D144="","",IF(タスク!$H144="完了",1,IF(タスク!$I144="",0,タスク!$I144)))</f>
        <v/>
      </c>
      <c r="H146" s="25" t="str">
        <f aca="false">IF(タスク!$D144="","",タスク!$H144)</f>
        <v/>
      </c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"/>
      <c r="CB146" s="2"/>
      <c r="CC146" s="2"/>
      <c r="CD146" s="2"/>
    </row>
    <row r="147" customFormat="false" ht="15" hidden="false" customHeight="false" outlineLevel="0" collapsed="false">
      <c r="A147" s="25" t="str">
        <f aca="false">IF(タスク!$D145="","",タスク!$A145)</f>
        <v/>
      </c>
      <c r="B147" s="25" t="str">
        <f aca="false">IF(タスク!$D145="","",タスク!$C145)</f>
        <v/>
      </c>
      <c r="C147" s="25" t="str">
        <f aca="false">IF(タスク!$D145="","",タスク!$D145)</f>
        <v/>
      </c>
      <c r="D147" s="25" t="str">
        <f aca="false">IF(タスク!$D145="","",タスク!$E145)</f>
        <v/>
      </c>
      <c r="E147" s="26" t="str">
        <f aca="false">IF(タスク!$D145="","",IF(タスク!$F145="","",タスク!$F145))</f>
        <v/>
      </c>
      <c r="F147" s="26" t="str">
        <f aca="false">IF(タスク!$D145="","",IF(タスク!$G145="","",タスク!$G145))</f>
        <v/>
      </c>
      <c r="G147" s="27" t="str">
        <f aca="false">IF(タスク!$D145="","",IF(タスク!$H145="完了",1,IF(タスク!$I145="",0,タスク!$I145)))</f>
        <v/>
      </c>
      <c r="H147" s="25" t="str">
        <f aca="false">IF(タスク!$D145="","",タスク!$H145)</f>
        <v/>
      </c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"/>
      <c r="CB147" s="2"/>
      <c r="CC147" s="2"/>
      <c r="CD147" s="2"/>
    </row>
    <row r="148" customFormat="false" ht="15" hidden="false" customHeight="false" outlineLevel="0" collapsed="false">
      <c r="A148" s="25" t="str">
        <f aca="false">IF(タスク!$D146="","",タスク!$A146)</f>
        <v/>
      </c>
      <c r="B148" s="25" t="str">
        <f aca="false">IF(タスク!$D146="","",タスク!$C146)</f>
        <v/>
      </c>
      <c r="C148" s="25" t="str">
        <f aca="false">IF(タスク!$D146="","",タスク!$D146)</f>
        <v/>
      </c>
      <c r="D148" s="25" t="str">
        <f aca="false">IF(タスク!$D146="","",タスク!$E146)</f>
        <v/>
      </c>
      <c r="E148" s="26" t="str">
        <f aca="false">IF(タスク!$D146="","",IF(タスク!$F146="","",タスク!$F146))</f>
        <v/>
      </c>
      <c r="F148" s="26" t="str">
        <f aca="false">IF(タスク!$D146="","",IF(タスク!$G146="","",タスク!$G146))</f>
        <v/>
      </c>
      <c r="G148" s="27" t="str">
        <f aca="false">IF(タスク!$D146="","",IF(タスク!$H146="完了",1,IF(タスク!$I146="",0,タスク!$I146)))</f>
        <v/>
      </c>
      <c r="H148" s="25" t="str">
        <f aca="false">IF(タスク!$D146="","",タスク!$H146)</f>
        <v/>
      </c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"/>
      <c r="CB148" s="2"/>
      <c r="CC148" s="2"/>
      <c r="CD148" s="2"/>
    </row>
    <row r="149" customFormat="false" ht="15" hidden="false" customHeight="false" outlineLevel="0" collapsed="false">
      <c r="A149" s="25" t="str">
        <f aca="false">IF(タスク!$D147="","",タスク!$A147)</f>
        <v/>
      </c>
      <c r="B149" s="25" t="str">
        <f aca="false">IF(タスク!$D147="","",タスク!$C147)</f>
        <v/>
      </c>
      <c r="C149" s="25" t="str">
        <f aca="false">IF(タスク!$D147="","",タスク!$D147)</f>
        <v/>
      </c>
      <c r="D149" s="25" t="str">
        <f aca="false">IF(タスク!$D147="","",タスク!$E147)</f>
        <v/>
      </c>
      <c r="E149" s="26" t="str">
        <f aca="false">IF(タスク!$D147="","",IF(タスク!$F147="","",タスク!$F147))</f>
        <v/>
      </c>
      <c r="F149" s="26" t="str">
        <f aca="false">IF(タスク!$D147="","",IF(タスク!$G147="","",タスク!$G147))</f>
        <v/>
      </c>
      <c r="G149" s="27" t="str">
        <f aca="false">IF(タスク!$D147="","",IF(タスク!$H147="完了",1,IF(タスク!$I147="",0,タスク!$I147)))</f>
        <v/>
      </c>
      <c r="H149" s="25" t="str">
        <f aca="false">IF(タスク!$D147="","",タスク!$H147)</f>
        <v/>
      </c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"/>
      <c r="CB149" s="2"/>
      <c r="CC149" s="2"/>
      <c r="CD149" s="2"/>
    </row>
    <row r="150" customFormat="false" ht="15" hidden="false" customHeight="false" outlineLevel="0" collapsed="false">
      <c r="A150" s="25" t="str">
        <f aca="false">IF(タスク!$D148="","",タスク!$A148)</f>
        <v/>
      </c>
      <c r="B150" s="25" t="str">
        <f aca="false">IF(タスク!$D148="","",タスク!$C148)</f>
        <v/>
      </c>
      <c r="C150" s="25" t="str">
        <f aca="false">IF(タスク!$D148="","",タスク!$D148)</f>
        <v/>
      </c>
      <c r="D150" s="25" t="str">
        <f aca="false">IF(タスク!$D148="","",タスク!$E148)</f>
        <v/>
      </c>
      <c r="E150" s="26" t="str">
        <f aca="false">IF(タスク!$D148="","",IF(タスク!$F148="","",タスク!$F148))</f>
        <v/>
      </c>
      <c r="F150" s="26" t="str">
        <f aca="false">IF(タスク!$D148="","",IF(タスク!$G148="","",タスク!$G148))</f>
        <v/>
      </c>
      <c r="G150" s="27" t="str">
        <f aca="false">IF(タスク!$D148="","",IF(タスク!$H148="完了",1,IF(タスク!$I148="",0,タスク!$I148)))</f>
        <v/>
      </c>
      <c r="H150" s="25" t="str">
        <f aca="false">IF(タスク!$D148="","",タスク!$H148)</f>
        <v/>
      </c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"/>
      <c r="CB150" s="2"/>
      <c r="CC150" s="2"/>
      <c r="CD150" s="2"/>
    </row>
    <row r="151" customFormat="false" ht="15" hidden="false" customHeight="false" outlineLevel="0" collapsed="false">
      <c r="A151" s="25" t="str">
        <f aca="false">IF(タスク!$D149="","",タスク!$A149)</f>
        <v/>
      </c>
      <c r="B151" s="25" t="str">
        <f aca="false">IF(タスク!$D149="","",タスク!$C149)</f>
        <v/>
      </c>
      <c r="C151" s="25" t="str">
        <f aca="false">IF(タスク!$D149="","",タスク!$D149)</f>
        <v/>
      </c>
      <c r="D151" s="25" t="str">
        <f aca="false">IF(タスク!$D149="","",タスク!$E149)</f>
        <v/>
      </c>
      <c r="E151" s="26" t="str">
        <f aca="false">IF(タスク!$D149="","",IF(タスク!$F149="","",タスク!$F149))</f>
        <v/>
      </c>
      <c r="F151" s="26" t="str">
        <f aca="false">IF(タスク!$D149="","",IF(タスク!$G149="","",タスク!$G149))</f>
        <v/>
      </c>
      <c r="G151" s="27" t="str">
        <f aca="false">IF(タスク!$D149="","",IF(タスク!$H149="完了",1,IF(タスク!$I149="",0,タスク!$I149)))</f>
        <v/>
      </c>
      <c r="H151" s="25" t="str">
        <f aca="false">IF(タスク!$D149="","",タスク!$H149)</f>
        <v/>
      </c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"/>
      <c r="CB151" s="2"/>
      <c r="CC151" s="2"/>
      <c r="CD151" s="2"/>
    </row>
    <row r="152" customFormat="false" ht="15" hidden="false" customHeight="false" outlineLevel="0" collapsed="false">
      <c r="A152" s="25" t="str">
        <f aca="false">IF(タスク!$D150="","",タスク!$A150)</f>
        <v/>
      </c>
      <c r="B152" s="25" t="str">
        <f aca="false">IF(タスク!$D150="","",タスク!$C150)</f>
        <v/>
      </c>
      <c r="C152" s="25" t="str">
        <f aca="false">IF(タスク!$D150="","",タスク!$D150)</f>
        <v/>
      </c>
      <c r="D152" s="25" t="str">
        <f aca="false">IF(タスク!$D150="","",タスク!$E150)</f>
        <v/>
      </c>
      <c r="E152" s="26" t="str">
        <f aca="false">IF(タスク!$D150="","",IF(タスク!$F150="","",タスク!$F150))</f>
        <v/>
      </c>
      <c r="F152" s="26" t="str">
        <f aca="false">IF(タスク!$D150="","",IF(タスク!$G150="","",タスク!$G150))</f>
        <v/>
      </c>
      <c r="G152" s="27" t="str">
        <f aca="false">IF(タスク!$D150="","",IF(タスク!$H150="完了",1,IF(タスク!$I150="",0,タスク!$I150)))</f>
        <v/>
      </c>
      <c r="H152" s="25" t="str">
        <f aca="false">IF(タスク!$D150="","",タスク!$H150)</f>
        <v/>
      </c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"/>
      <c r="CB152" s="2"/>
      <c r="CC152" s="2"/>
      <c r="CD152" s="2"/>
    </row>
    <row r="153" customFormat="false" ht="15" hidden="false" customHeight="false" outlineLevel="0" collapsed="false">
      <c r="A153" s="25" t="str">
        <f aca="false">IF(タスク!$D151="","",タスク!$A151)</f>
        <v/>
      </c>
      <c r="B153" s="25" t="str">
        <f aca="false">IF(タスク!$D151="","",タスク!$C151)</f>
        <v/>
      </c>
      <c r="C153" s="25" t="str">
        <f aca="false">IF(タスク!$D151="","",タスク!$D151)</f>
        <v/>
      </c>
      <c r="D153" s="25" t="str">
        <f aca="false">IF(タスク!$D151="","",タスク!$E151)</f>
        <v/>
      </c>
      <c r="E153" s="26" t="str">
        <f aca="false">IF(タスク!$D151="","",IF(タスク!$F151="","",タスク!$F151))</f>
        <v/>
      </c>
      <c r="F153" s="26" t="str">
        <f aca="false">IF(タスク!$D151="","",IF(タスク!$G151="","",タスク!$G151))</f>
        <v/>
      </c>
      <c r="G153" s="27" t="str">
        <f aca="false">IF(タスク!$D151="","",IF(タスク!$H151="完了",1,IF(タスク!$I151="",0,タスク!$I151)))</f>
        <v/>
      </c>
      <c r="H153" s="25" t="str">
        <f aca="false">IF(タスク!$D151="","",タスク!$H151)</f>
        <v/>
      </c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"/>
      <c r="CB153" s="2"/>
      <c r="CC153" s="2"/>
      <c r="CD153" s="2"/>
    </row>
    <row r="154" customFormat="false" ht="15" hidden="false" customHeight="false" outlineLevel="0" collapsed="false">
      <c r="A154" s="25" t="str">
        <f aca="false">IF(タスク!$D152="","",タスク!$A152)</f>
        <v/>
      </c>
      <c r="B154" s="25" t="str">
        <f aca="false">IF(タスク!$D152="","",タスク!$C152)</f>
        <v/>
      </c>
      <c r="C154" s="25" t="str">
        <f aca="false">IF(タスク!$D152="","",タスク!$D152)</f>
        <v/>
      </c>
      <c r="D154" s="25" t="str">
        <f aca="false">IF(タスク!$D152="","",タスク!$E152)</f>
        <v/>
      </c>
      <c r="E154" s="26" t="str">
        <f aca="false">IF(タスク!$D152="","",IF(タスク!$F152="","",タスク!$F152))</f>
        <v/>
      </c>
      <c r="F154" s="26" t="str">
        <f aca="false">IF(タスク!$D152="","",IF(タスク!$G152="","",タスク!$G152))</f>
        <v/>
      </c>
      <c r="G154" s="27" t="str">
        <f aca="false">IF(タスク!$D152="","",IF(タスク!$H152="完了",1,IF(タスク!$I152="",0,タスク!$I152)))</f>
        <v/>
      </c>
      <c r="H154" s="25" t="str">
        <f aca="false">IF(タスク!$D152="","",タスク!$H152)</f>
        <v/>
      </c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"/>
      <c r="CB154" s="2"/>
      <c r="CC154" s="2"/>
      <c r="CD154" s="2"/>
    </row>
    <row r="155" customFormat="false" ht="15" hidden="false" customHeight="false" outlineLevel="0" collapsed="false">
      <c r="A155" s="25" t="str">
        <f aca="false">IF(タスク!$D153="","",タスク!$A153)</f>
        <v/>
      </c>
      <c r="B155" s="25" t="str">
        <f aca="false">IF(タスク!$D153="","",タスク!$C153)</f>
        <v/>
      </c>
      <c r="C155" s="25" t="str">
        <f aca="false">IF(タスク!$D153="","",タスク!$D153)</f>
        <v/>
      </c>
      <c r="D155" s="25" t="str">
        <f aca="false">IF(タスク!$D153="","",タスク!$E153)</f>
        <v/>
      </c>
      <c r="E155" s="26" t="str">
        <f aca="false">IF(タスク!$D153="","",IF(タスク!$F153="","",タスク!$F153))</f>
        <v/>
      </c>
      <c r="F155" s="26" t="str">
        <f aca="false">IF(タスク!$D153="","",IF(タスク!$G153="","",タスク!$G153))</f>
        <v/>
      </c>
      <c r="G155" s="27" t="str">
        <f aca="false">IF(タスク!$D153="","",IF(タスク!$H153="完了",1,IF(タスク!$I153="",0,タスク!$I153)))</f>
        <v/>
      </c>
      <c r="H155" s="25" t="str">
        <f aca="false">IF(タスク!$D153="","",タスク!$H153)</f>
        <v/>
      </c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"/>
      <c r="CB155" s="2"/>
      <c r="CC155" s="2"/>
      <c r="CD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</row>
  </sheetData>
  <conditionalFormatting sqref="I6:BZ155">
    <cfRule type="expression" priority="2" aboveAverage="0" equalAverage="0" bottom="0" percent="0" rank="0" text="" dxfId="16">
      <formula>AND($C6&lt;&gt;"",$H6="完了",$E6&lt;&gt;"",$F6&lt;&gt;"",I$5&gt;=$E6,I$5&lt;=$F6)</formula>
    </cfRule>
    <cfRule type="expression" priority="3" aboveAverage="0" equalAverage="0" bottom="0" percent="0" rank="0" text="" dxfId="17">
      <formula>AND($C6&lt;&gt;"",$H6&lt;&gt;"完了",$E6&lt;&gt;"",$F6&lt;&gt;"",I$5=MIN($F6,$E6+ROUND(($F6-$E6)*$G6,0)))</formula>
    </cfRule>
    <cfRule type="expression" priority="4" aboveAverage="0" equalAverage="0" bottom="0" percent="0" rank="0" text="" dxfId="18">
      <formula>AND($C6&lt;&gt;"",$H6&lt;&gt;"完了",$E6&lt;&gt;"",$F6&lt;&gt;"",I$5&gt;=$E6,I$5&lt;$E6+($F6-$E6)*$G6)</formula>
    </cfRule>
    <cfRule type="expression" priority="5" aboveAverage="0" equalAverage="0" bottom="0" percent="0" rank="0" text="" dxfId="19">
      <formula>AND($C6&lt;&gt;"",$E6&lt;&gt;"",$F6&lt;&gt;"",I$5&gt;=$E6,I$5&lt;=$F6)</formula>
    </cfRule>
    <cfRule type="expression" priority="6" aboveAverage="0" equalAverage="0" bottom="0" percent="0" rank="0" text="" dxfId="20">
      <formula>I$5=TODAY()</formula>
    </cfRule>
  </conditionalFormatting>
  <conditionalFormatting sqref="A6:H155">
    <cfRule type="expression" priority="7" aboveAverage="0" equalAverage="0" bottom="0" percent="0" rank="0" text="" dxfId="21">
      <formula>AND($C6&lt;&gt;"",$H6&lt;&gt;"完了",$F6&lt;&gt;"",$F6&lt;TODAY())</formula>
    </cfRule>
    <cfRule type="expression" priority="8" aboveAverage="0" equalAverage="0" bottom="0" percent="0" rank="0" text="" dxfId="22">
      <formula>AND($C6&lt;&gt;"",$H6&lt;&gt;"完了",$E6&lt;&gt;"",$F6&lt;&gt;"",$F6&gt;=TODAY(),(TODAY()-$E6)&gt;($F6-$E6)*$G6)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40"/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6" min="4" style="0" width="8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5" t="s">
        <v>3</v>
      </c>
      <c r="B3" s="5" t="s">
        <v>4</v>
      </c>
      <c r="C3" s="5" t="s">
        <v>48</v>
      </c>
      <c r="D3" s="5" t="s">
        <v>32</v>
      </c>
      <c r="E3" s="5" t="s">
        <v>49</v>
      </c>
      <c r="F3" s="5" t="s">
        <v>50</v>
      </c>
      <c r="G3" s="5" t="s">
        <v>24</v>
      </c>
      <c r="H3" s="5" t="s">
        <v>51</v>
      </c>
      <c r="I3" s="5" t="s">
        <v>12</v>
      </c>
      <c r="J3" s="5" t="s">
        <v>13</v>
      </c>
      <c r="K3" s="5" t="s">
        <v>52</v>
      </c>
      <c r="L3" s="5" t="s">
        <v>53</v>
      </c>
      <c r="M3" s="2"/>
      <c r="N3" s="2"/>
    </row>
    <row r="4" customFormat="false" ht="15" hidden="false" customHeight="false" outlineLevel="0" collapsed="false">
      <c r="A4" s="29" t="str">
        <f aca="false">IF(案件マスタ!$B4="","",案件マスタ!$A4)</f>
        <v>A社</v>
      </c>
      <c r="B4" s="29" t="str">
        <f aca="false">IF(案件マスタ!$B4="","",案件マスタ!$B4)</f>
        <v>A社_無線LAN更改</v>
      </c>
      <c r="C4" s="30" t="n">
        <f aca="false">IF($B4="","",COUNTIF(タスク!$C$4:$C$503,$B4))</f>
        <v>2</v>
      </c>
      <c r="D4" s="30" t="n">
        <f aca="false">IF($B4="","",COUNTIFS(タスク!$C$4:$C$503,$B4,タスク!$H$4:$H$503,"完了"))</f>
        <v>0</v>
      </c>
      <c r="E4" s="30" t="n">
        <f aca="false">IF($B4="","",COUNTIFS(タスク!$C$4:$C$503,$B4,タスク!$J$4:$J$503,"🔴 OVERDUE"))</f>
        <v>1</v>
      </c>
      <c r="F4" s="30" t="n">
        <f aca="false">IF($B4="","",COUNTIFS(タスク!$C$4:$C$503,$B4,タスク!$J$4:$J$503,"🟡 TODAY"))</f>
        <v>1</v>
      </c>
      <c r="G4" s="30" t="n">
        <f aca="false">IF($B4="","",COUNTIFS(タスク!$C$4:$C$503,$B4,タスク!$H$4:$H$503,"レビュー待ち"))</f>
        <v>1</v>
      </c>
      <c r="H4" s="31" t="n">
        <f aca="false">IF($B4="","",IF(C4=0,"",D4/C4))</f>
        <v>0</v>
      </c>
      <c r="I4" s="32" t="n">
        <f aca="false">IF($B4="","",SUMIFS(タスク!$K$4:$K$503,タスク!$C$4:$C$503,$B4))</f>
        <v>20</v>
      </c>
      <c r="J4" s="32" t="n">
        <f aca="false">IF($B4="","",SUMIFS(工数ログ!$E$4:$E$1003,工数ログ!$C$4:$C$1003,$B4))</f>
        <v>7.5</v>
      </c>
      <c r="K4" s="32" t="n">
        <f aca="false">IF($B4="","",J4-I4)</f>
        <v>-12.5</v>
      </c>
      <c r="L4" s="33" t="str">
        <f aca="false">IF($B4="","",IF(E4&gt;0,"⚠ DELAYED",IF(F4&gt;0,"△ DUE TODAY","● ON TRACK")))</f>
        <v>⚠ DELAYED</v>
      </c>
      <c r="M4" s="2"/>
      <c r="N4" s="2"/>
    </row>
    <row r="5" customFormat="false" ht="15" hidden="false" customHeight="false" outlineLevel="0" collapsed="false">
      <c r="A5" s="29" t="str">
        <f aca="false">IF(案件マスタ!$B5="","",案件マスタ!$A5)</f>
        <v>A社</v>
      </c>
      <c r="B5" s="29" t="str">
        <f aca="false">IF(案件マスタ!$B5="","",案件マスタ!$B5)</f>
        <v>A社_FW更改</v>
      </c>
      <c r="C5" s="30" t="n">
        <f aca="false">IF($B5="","",COUNTIF(タスク!$C$4:$C$503,$B5))</f>
        <v>1</v>
      </c>
      <c r="D5" s="30" t="n">
        <f aca="false">IF($B5="","",COUNTIFS(タスク!$C$4:$C$503,$B5,タスク!$H$4:$H$503,"完了"))</f>
        <v>0</v>
      </c>
      <c r="E5" s="30" t="n">
        <f aca="false">IF($B5="","",COUNTIFS(タスク!$C$4:$C$503,$B5,タスク!$J$4:$J$503,"🔴 OVERDUE"))</f>
        <v>0</v>
      </c>
      <c r="F5" s="30" t="n">
        <f aca="false">IF($B5="","",COUNTIFS(タスク!$C$4:$C$503,$B5,タスク!$J$4:$J$503,"🟡 TODAY"))</f>
        <v>0</v>
      </c>
      <c r="G5" s="30" t="n">
        <f aca="false">IF($B5="","",COUNTIFS(タスク!$C$4:$C$503,$B5,タスク!$H$4:$H$503,"レビュー待ち"))</f>
        <v>0</v>
      </c>
      <c r="H5" s="31" t="n">
        <f aca="false">IF($B5="","",IF(C5=0,"",D5/C5))</f>
        <v>0</v>
      </c>
      <c r="I5" s="32" t="n">
        <f aca="false">IF($B5="","",SUMIFS(タスク!$K$4:$K$503,タスク!$C$4:$C$503,$B5))</f>
        <v>6</v>
      </c>
      <c r="J5" s="32" t="n">
        <f aca="false">IF($B5="","",SUMIFS(工数ログ!$E$4:$E$1003,工数ログ!$C$4:$C$1003,$B5))</f>
        <v>1.5</v>
      </c>
      <c r="K5" s="32" t="n">
        <f aca="false">IF($B5="","",J5-I5)</f>
        <v>-4.5</v>
      </c>
      <c r="L5" s="33" t="str">
        <f aca="false">IF($B5="","",IF(E5&gt;0,"⚠ DELAYED",IF(F5&gt;0,"△ DUE TODAY","● ON TRACK")))</f>
        <v>● ON TRACK</v>
      </c>
      <c r="M5" s="2"/>
      <c r="N5" s="2"/>
    </row>
    <row r="6" customFormat="false" ht="15" hidden="false" customHeight="false" outlineLevel="0" collapsed="false">
      <c r="A6" s="29" t="str">
        <f aca="false">IF(案件マスタ!$B6="","",案件マスタ!$A6)</f>
        <v>B社</v>
      </c>
      <c r="B6" s="29" t="str">
        <f aca="false">IF(案件マスタ!$B6="","",案件マスタ!$B6)</f>
        <v>B社_監視導入</v>
      </c>
      <c r="C6" s="30" t="n">
        <f aca="false">IF($B6="","",COUNTIF(タスク!$C$4:$C$503,$B6))</f>
        <v>2</v>
      </c>
      <c r="D6" s="30" t="n">
        <f aca="false">IF($B6="","",COUNTIFS(タスク!$C$4:$C$503,$B6,タスク!$H$4:$H$503,"完了"))</f>
        <v>1</v>
      </c>
      <c r="E6" s="30" t="n">
        <f aca="false">IF($B6="","",COUNTIFS(タスク!$C$4:$C$503,$B6,タスク!$J$4:$J$503,"🔴 OVERDUE"))</f>
        <v>0</v>
      </c>
      <c r="F6" s="30" t="n">
        <f aca="false">IF($B6="","",COUNTIFS(タスク!$C$4:$C$503,$B6,タスク!$J$4:$J$503,"🟡 TODAY"))</f>
        <v>0</v>
      </c>
      <c r="G6" s="30" t="n">
        <f aca="false">IF($B6="","",COUNTIFS(タスク!$C$4:$C$503,$B6,タスク!$H$4:$H$503,"レビュー待ち"))</f>
        <v>0</v>
      </c>
      <c r="H6" s="31" t="n">
        <f aca="false">IF($B6="","",IF(C6=0,"",D6/C6))</f>
        <v>0.5</v>
      </c>
      <c r="I6" s="32" t="n">
        <f aca="false">IF($B6="","",SUMIFS(タスク!$K$4:$K$503,タスク!$C$4:$C$503,$B6))</f>
        <v>14</v>
      </c>
      <c r="J6" s="32" t="n">
        <f aca="false">IF($B6="","",SUMIFS(工数ログ!$E$4:$E$1003,工数ログ!$C$4:$C$1003,$B6))</f>
        <v>4</v>
      </c>
      <c r="K6" s="32" t="n">
        <f aca="false">IF($B6="","",J6-I6)</f>
        <v>-10</v>
      </c>
      <c r="L6" s="33" t="str">
        <f aca="false">IF($B6="","",IF(E6&gt;0,"⚠ DELAYED",IF(F6&gt;0,"△ DUE TODAY","● ON TRACK")))</f>
        <v>● ON TRACK</v>
      </c>
      <c r="M6" s="2"/>
      <c r="N6" s="2"/>
    </row>
    <row r="7" customFormat="false" ht="15" hidden="false" customHeight="false" outlineLevel="0" collapsed="false">
      <c r="A7" s="29" t="str">
        <f aca="false">IF(案件マスタ!$B7="","",案件マスタ!$A7)</f>
        <v/>
      </c>
      <c r="B7" s="29" t="str">
        <f aca="false">IF(案件マスタ!$B7="","",案件マスタ!$B7)</f>
        <v/>
      </c>
      <c r="C7" s="30" t="str">
        <f aca="false">IF($B7="","",COUNTIF(タスク!$C$4:$C$503,$B7))</f>
        <v/>
      </c>
      <c r="D7" s="30" t="str">
        <f aca="false">IF($B7="","",COUNTIFS(タスク!$C$4:$C$503,$B7,タスク!$H$4:$H$503,"完了"))</f>
        <v/>
      </c>
      <c r="E7" s="30" t="str">
        <f aca="false">IF($B7="","",COUNTIFS(タスク!$C$4:$C$503,$B7,タスク!$J$4:$J$503,"🔴 OVERDUE"))</f>
        <v/>
      </c>
      <c r="F7" s="30" t="str">
        <f aca="false">IF($B7="","",COUNTIFS(タスク!$C$4:$C$503,$B7,タスク!$J$4:$J$503,"🟡 TODAY"))</f>
        <v/>
      </c>
      <c r="G7" s="30" t="str">
        <f aca="false">IF($B7="","",COUNTIFS(タスク!$C$4:$C$503,$B7,タスク!$H$4:$H$503,"レビュー待ち"))</f>
        <v/>
      </c>
      <c r="H7" s="31" t="str">
        <f aca="false">IF($B7="","",IF(C7=0,"",D7/C7))</f>
        <v/>
      </c>
      <c r="I7" s="32" t="str">
        <f aca="false">IF($B7="","",SUMIFS(タスク!$K$4:$K$503,タスク!$C$4:$C$503,$B7))</f>
        <v/>
      </c>
      <c r="J7" s="32" t="str">
        <f aca="false">IF($B7="","",SUMIFS(工数ログ!$E$4:$E$1003,工数ログ!$C$4:$C$1003,$B7))</f>
        <v/>
      </c>
      <c r="K7" s="32" t="str">
        <f aca="false">IF($B7="","",J7-I7)</f>
        <v/>
      </c>
      <c r="L7" s="33" t="str">
        <f aca="false">IF($B7="","",IF(E7&gt;0,"⚠ DELAYED",IF(F7&gt;0,"△ DUE TODAY","● ON TRACK")))</f>
        <v/>
      </c>
      <c r="M7" s="2"/>
      <c r="N7" s="2"/>
    </row>
    <row r="8" customFormat="false" ht="15" hidden="false" customHeight="false" outlineLevel="0" collapsed="false">
      <c r="A8" s="29" t="str">
        <f aca="false">IF(案件マスタ!$B8="","",案件マスタ!$A8)</f>
        <v/>
      </c>
      <c r="B8" s="29" t="str">
        <f aca="false">IF(案件マスタ!$B8="","",案件マスタ!$B8)</f>
        <v/>
      </c>
      <c r="C8" s="30" t="str">
        <f aca="false">IF($B8="","",COUNTIF(タスク!$C$4:$C$503,$B8))</f>
        <v/>
      </c>
      <c r="D8" s="30" t="str">
        <f aca="false">IF($B8="","",COUNTIFS(タスク!$C$4:$C$503,$B8,タスク!$H$4:$H$503,"完了"))</f>
        <v/>
      </c>
      <c r="E8" s="30" t="str">
        <f aca="false">IF($B8="","",COUNTIFS(タスク!$C$4:$C$503,$B8,タスク!$J$4:$J$503,"🔴 OVERDUE"))</f>
        <v/>
      </c>
      <c r="F8" s="30" t="str">
        <f aca="false">IF($B8="","",COUNTIFS(タスク!$C$4:$C$503,$B8,タスク!$J$4:$J$503,"🟡 TODAY"))</f>
        <v/>
      </c>
      <c r="G8" s="30" t="str">
        <f aca="false">IF($B8="","",COUNTIFS(タスク!$C$4:$C$503,$B8,タスク!$H$4:$H$503,"レビュー待ち"))</f>
        <v/>
      </c>
      <c r="H8" s="31" t="str">
        <f aca="false">IF($B8="","",IF(C8=0,"",D8/C8))</f>
        <v/>
      </c>
      <c r="I8" s="32" t="str">
        <f aca="false">IF($B8="","",SUMIFS(タスク!$K$4:$K$503,タスク!$C$4:$C$503,$B8))</f>
        <v/>
      </c>
      <c r="J8" s="32" t="str">
        <f aca="false">IF($B8="","",SUMIFS(工数ログ!$E$4:$E$1003,工数ログ!$C$4:$C$1003,$B8))</f>
        <v/>
      </c>
      <c r="K8" s="32" t="str">
        <f aca="false">IF($B8="","",J8-I8)</f>
        <v/>
      </c>
      <c r="L8" s="33" t="str">
        <f aca="false">IF($B8="","",IF(E8&gt;0,"⚠ DELAYED",IF(F8&gt;0,"△ DUE TODAY","● ON TRACK")))</f>
        <v/>
      </c>
      <c r="M8" s="2"/>
      <c r="N8" s="2"/>
    </row>
    <row r="9" customFormat="false" ht="15" hidden="false" customHeight="false" outlineLevel="0" collapsed="false">
      <c r="A9" s="29" t="str">
        <f aca="false">IF(案件マスタ!$B9="","",案件マスタ!$A9)</f>
        <v/>
      </c>
      <c r="B9" s="29" t="str">
        <f aca="false">IF(案件マスタ!$B9="","",案件マスタ!$B9)</f>
        <v/>
      </c>
      <c r="C9" s="30" t="str">
        <f aca="false">IF($B9="","",COUNTIF(タスク!$C$4:$C$503,$B9))</f>
        <v/>
      </c>
      <c r="D9" s="30" t="str">
        <f aca="false">IF($B9="","",COUNTIFS(タスク!$C$4:$C$503,$B9,タスク!$H$4:$H$503,"完了"))</f>
        <v/>
      </c>
      <c r="E9" s="30" t="str">
        <f aca="false">IF($B9="","",COUNTIFS(タスク!$C$4:$C$503,$B9,タスク!$J$4:$J$503,"🔴 OVERDUE"))</f>
        <v/>
      </c>
      <c r="F9" s="30" t="str">
        <f aca="false">IF($B9="","",COUNTIFS(タスク!$C$4:$C$503,$B9,タスク!$J$4:$J$503,"🟡 TODAY"))</f>
        <v/>
      </c>
      <c r="G9" s="30" t="str">
        <f aca="false">IF($B9="","",COUNTIFS(タスク!$C$4:$C$503,$B9,タスク!$H$4:$H$503,"レビュー待ち"))</f>
        <v/>
      </c>
      <c r="H9" s="31" t="str">
        <f aca="false">IF($B9="","",IF(C9=0,"",D9/C9))</f>
        <v/>
      </c>
      <c r="I9" s="32" t="str">
        <f aca="false">IF($B9="","",SUMIFS(タスク!$K$4:$K$503,タスク!$C$4:$C$503,$B9))</f>
        <v/>
      </c>
      <c r="J9" s="32" t="str">
        <f aca="false">IF($B9="","",SUMIFS(工数ログ!$E$4:$E$1003,工数ログ!$C$4:$C$1003,$B9))</f>
        <v/>
      </c>
      <c r="K9" s="32" t="str">
        <f aca="false">IF($B9="","",J9-I9)</f>
        <v/>
      </c>
      <c r="L9" s="33" t="str">
        <f aca="false">IF($B9="","",IF(E9&gt;0,"⚠ DELAYED",IF(F9&gt;0,"△ DUE TODAY","● ON TRACK")))</f>
        <v/>
      </c>
      <c r="M9" s="2"/>
      <c r="N9" s="2"/>
    </row>
    <row r="10" customFormat="false" ht="15" hidden="false" customHeight="false" outlineLevel="0" collapsed="false">
      <c r="A10" s="29" t="str">
        <f aca="false">IF(案件マスタ!$B10="","",案件マスタ!$A10)</f>
        <v/>
      </c>
      <c r="B10" s="29" t="str">
        <f aca="false">IF(案件マスタ!$B10="","",案件マスタ!$B10)</f>
        <v/>
      </c>
      <c r="C10" s="30" t="str">
        <f aca="false">IF($B10="","",COUNTIF(タスク!$C$4:$C$503,$B10))</f>
        <v/>
      </c>
      <c r="D10" s="30" t="str">
        <f aca="false">IF($B10="","",COUNTIFS(タスク!$C$4:$C$503,$B10,タスク!$H$4:$H$503,"完了"))</f>
        <v/>
      </c>
      <c r="E10" s="30" t="str">
        <f aca="false">IF($B10="","",COUNTIFS(タスク!$C$4:$C$503,$B10,タスク!$J$4:$J$503,"🔴 OVERDUE"))</f>
        <v/>
      </c>
      <c r="F10" s="30" t="str">
        <f aca="false">IF($B10="","",COUNTIFS(タスク!$C$4:$C$503,$B10,タスク!$J$4:$J$503,"🟡 TODAY"))</f>
        <v/>
      </c>
      <c r="G10" s="30" t="str">
        <f aca="false">IF($B10="","",COUNTIFS(タスク!$C$4:$C$503,$B10,タスク!$H$4:$H$503,"レビュー待ち"))</f>
        <v/>
      </c>
      <c r="H10" s="31" t="str">
        <f aca="false">IF($B10="","",IF(C10=0,"",D10/C10))</f>
        <v/>
      </c>
      <c r="I10" s="32" t="str">
        <f aca="false">IF($B10="","",SUMIFS(タスク!$K$4:$K$503,タスク!$C$4:$C$503,$B10))</f>
        <v/>
      </c>
      <c r="J10" s="32" t="str">
        <f aca="false">IF($B10="","",SUMIFS(工数ログ!$E$4:$E$1003,工数ログ!$C$4:$C$1003,$B10))</f>
        <v/>
      </c>
      <c r="K10" s="32" t="str">
        <f aca="false">IF($B10="","",J10-I10)</f>
        <v/>
      </c>
      <c r="L10" s="33" t="str">
        <f aca="false">IF($B10="","",IF(E10&gt;0,"⚠ DELAYED",IF(F10&gt;0,"△ DUE TODAY","● ON TRACK")))</f>
        <v/>
      </c>
      <c r="M10" s="2"/>
      <c r="N10" s="2"/>
    </row>
    <row r="11" customFormat="false" ht="15" hidden="false" customHeight="false" outlineLevel="0" collapsed="false">
      <c r="A11" s="29" t="str">
        <f aca="false">IF(案件マスタ!$B11="","",案件マスタ!$A11)</f>
        <v/>
      </c>
      <c r="B11" s="29" t="str">
        <f aca="false">IF(案件マスタ!$B11="","",案件マスタ!$B11)</f>
        <v/>
      </c>
      <c r="C11" s="30" t="str">
        <f aca="false">IF($B11="","",COUNTIF(タスク!$C$4:$C$503,$B11))</f>
        <v/>
      </c>
      <c r="D11" s="30" t="str">
        <f aca="false">IF($B11="","",COUNTIFS(タスク!$C$4:$C$503,$B11,タスク!$H$4:$H$503,"完了"))</f>
        <v/>
      </c>
      <c r="E11" s="30" t="str">
        <f aca="false">IF($B11="","",COUNTIFS(タスク!$C$4:$C$503,$B11,タスク!$J$4:$J$503,"🔴 OVERDUE"))</f>
        <v/>
      </c>
      <c r="F11" s="30" t="str">
        <f aca="false">IF($B11="","",COUNTIFS(タスク!$C$4:$C$503,$B11,タスク!$J$4:$J$503,"🟡 TODAY"))</f>
        <v/>
      </c>
      <c r="G11" s="30" t="str">
        <f aca="false">IF($B11="","",COUNTIFS(タスク!$C$4:$C$503,$B11,タスク!$H$4:$H$503,"レビュー待ち"))</f>
        <v/>
      </c>
      <c r="H11" s="31" t="str">
        <f aca="false">IF($B11="","",IF(C11=0,"",D11/C11))</f>
        <v/>
      </c>
      <c r="I11" s="32" t="str">
        <f aca="false">IF($B11="","",SUMIFS(タスク!$K$4:$K$503,タスク!$C$4:$C$503,$B11))</f>
        <v/>
      </c>
      <c r="J11" s="32" t="str">
        <f aca="false">IF($B11="","",SUMIFS(工数ログ!$E$4:$E$1003,工数ログ!$C$4:$C$1003,$B11))</f>
        <v/>
      </c>
      <c r="K11" s="32" t="str">
        <f aca="false">IF($B11="","",J11-I11)</f>
        <v/>
      </c>
      <c r="L11" s="33" t="str">
        <f aca="false">IF($B11="","",IF(E11&gt;0,"⚠ DELAYED",IF(F11&gt;0,"△ DUE TODAY","● ON TRACK")))</f>
        <v/>
      </c>
      <c r="M11" s="2"/>
      <c r="N11" s="2"/>
    </row>
    <row r="12" customFormat="false" ht="15" hidden="false" customHeight="false" outlineLevel="0" collapsed="false">
      <c r="A12" s="29" t="str">
        <f aca="false">IF(案件マスタ!$B12="","",案件マスタ!$A12)</f>
        <v/>
      </c>
      <c r="B12" s="29" t="str">
        <f aca="false">IF(案件マスタ!$B12="","",案件マスタ!$B12)</f>
        <v/>
      </c>
      <c r="C12" s="30" t="str">
        <f aca="false">IF($B12="","",COUNTIF(タスク!$C$4:$C$503,$B12))</f>
        <v/>
      </c>
      <c r="D12" s="30" t="str">
        <f aca="false">IF($B12="","",COUNTIFS(タスク!$C$4:$C$503,$B12,タスク!$H$4:$H$503,"完了"))</f>
        <v/>
      </c>
      <c r="E12" s="30" t="str">
        <f aca="false">IF($B12="","",COUNTIFS(タスク!$C$4:$C$503,$B12,タスク!$J$4:$J$503,"🔴 OVERDUE"))</f>
        <v/>
      </c>
      <c r="F12" s="30" t="str">
        <f aca="false">IF($B12="","",COUNTIFS(タスク!$C$4:$C$503,$B12,タスク!$J$4:$J$503,"🟡 TODAY"))</f>
        <v/>
      </c>
      <c r="G12" s="30" t="str">
        <f aca="false">IF($B12="","",COUNTIFS(タスク!$C$4:$C$503,$B12,タスク!$H$4:$H$503,"レビュー待ち"))</f>
        <v/>
      </c>
      <c r="H12" s="31" t="str">
        <f aca="false">IF($B12="","",IF(C12=0,"",D12/C12))</f>
        <v/>
      </c>
      <c r="I12" s="32" t="str">
        <f aca="false">IF($B12="","",SUMIFS(タスク!$K$4:$K$503,タスク!$C$4:$C$503,$B12))</f>
        <v/>
      </c>
      <c r="J12" s="32" t="str">
        <f aca="false">IF($B12="","",SUMIFS(工数ログ!$E$4:$E$1003,工数ログ!$C$4:$C$1003,$B12))</f>
        <v/>
      </c>
      <c r="K12" s="32" t="str">
        <f aca="false">IF($B12="","",J12-I12)</f>
        <v/>
      </c>
      <c r="L12" s="33" t="str">
        <f aca="false">IF($B12="","",IF(E12&gt;0,"⚠ DELAYED",IF(F12&gt;0,"△ DUE TODAY","● ON TRACK")))</f>
        <v/>
      </c>
      <c r="M12" s="2"/>
      <c r="N12" s="2"/>
    </row>
    <row r="13" customFormat="false" ht="15" hidden="false" customHeight="false" outlineLevel="0" collapsed="false">
      <c r="A13" s="29" t="str">
        <f aca="false">IF(案件マスタ!$B13="","",案件マスタ!$A13)</f>
        <v/>
      </c>
      <c r="B13" s="29" t="str">
        <f aca="false">IF(案件マスタ!$B13="","",案件マスタ!$B13)</f>
        <v/>
      </c>
      <c r="C13" s="30" t="str">
        <f aca="false">IF($B13="","",COUNTIF(タスク!$C$4:$C$503,$B13))</f>
        <v/>
      </c>
      <c r="D13" s="30" t="str">
        <f aca="false">IF($B13="","",COUNTIFS(タスク!$C$4:$C$503,$B13,タスク!$H$4:$H$503,"完了"))</f>
        <v/>
      </c>
      <c r="E13" s="30" t="str">
        <f aca="false">IF($B13="","",COUNTIFS(タスク!$C$4:$C$503,$B13,タスク!$J$4:$J$503,"🔴 OVERDUE"))</f>
        <v/>
      </c>
      <c r="F13" s="30" t="str">
        <f aca="false">IF($B13="","",COUNTIFS(タスク!$C$4:$C$503,$B13,タスク!$J$4:$J$503,"🟡 TODAY"))</f>
        <v/>
      </c>
      <c r="G13" s="30" t="str">
        <f aca="false">IF($B13="","",COUNTIFS(タスク!$C$4:$C$503,$B13,タスク!$H$4:$H$503,"レビュー待ち"))</f>
        <v/>
      </c>
      <c r="H13" s="31" t="str">
        <f aca="false">IF($B13="","",IF(C13=0,"",D13/C13))</f>
        <v/>
      </c>
      <c r="I13" s="32" t="str">
        <f aca="false">IF($B13="","",SUMIFS(タスク!$K$4:$K$503,タスク!$C$4:$C$503,$B13))</f>
        <v/>
      </c>
      <c r="J13" s="32" t="str">
        <f aca="false">IF($B13="","",SUMIFS(工数ログ!$E$4:$E$1003,工数ログ!$C$4:$C$1003,$B13))</f>
        <v/>
      </c>
      <c r="K13" s="32" t="str">
        <f aca="false">IF($B13="","",J13-I13)</f>
        <v/>
      </c>
      <c r="L13" s="33" t="str">
        <f aca="false">IF($B13="","",IF(E13&gt;0,"⚠ DELAYED",IF(F13&gt;0,"△ DUE TODAY","● ON TRACK")))</f>
        <v/>
      </c>
      <c r="M13" s="2"/>
      <c r="N13" s="2"/>
    </row>
    <row r="14" customFormat="false" ht="15" hidden="false" customHeight="false" outlineLevel="0" collapsed="false">
      <c r="A14" s="29" t="str">
        <f aca="false">IF(案件マスタ!$B14="","",案件マスタ!$A14)</f>
        <v/>
      </c>
      <c r="B14" s="29" t="str">
        <f aca="false">IF(案件マスタ!$B14="","",案件マスタ!$B14)</f>
        <v/>
      </c>
      <c r="C14" s="30" t="str">
        <f aca="false">IF($B14="","",COUNTIF(タスク!$C$4:$C$503,$B14))</f>
        <v/>
      </c>
      <c r="D14" s="30" t="str">
        <f aca="false">IF($B14="","",COUNTIFS(タスク!$C$4:$C$503,$B14,タスク!$H$4:$H$503,"完了"))</f>
        <v/>
      </c>
      <c r="E14" s="30" t="str">
        <f aca="false">IF($B14="","",COUNTIFS(タスク!$C$4:$C$503,$B14,タスク!$J$4:$J$503,"🔴 OVERDUE"))</f>
        <v/>
      </c>
      <c r="F14" s="30" t="str">
        <f aca="false">IF($B14="","",COUNTIFS(タスク!$C$4:$C$503,$B14,タスク!$J$4:$J$503,"🟡 TODAY"))</f>
        <v/>
      </c>
      <c r="G14" s="30" t="str">
        <f aca="false">IF($B14="","",COUNTIFS(タスク!$C$4:$C$503,$B14,タスク!$H$4:$H$503,"レビュー待ち"))</f>
        <v/>
      </c>
      <c r="H14" s="31" t="str">
        <f aca="false">IF($B14="","",IF(C14=0,"",D14/C14))</f>
        <v/>
      </c>
      <c r="I14" s="32" t="str">
        <f aca="false">IF($B14="","",SUMIFS(タスク!$K$4:$K$503,タスク!$C$4:$C$503,$B14))</f>
        <v/>
      </c>
      <c r="J14" s="32" t="str">
        <f aca="false">IF($B14="","",SUMIFS(工数ログ!$E$4:$E$1003,工数ログ!$C$4:$C$1003,$B14))</f>
        <v/>
      </c>
      <c r="K14" s="32" t="str">
        <f aca="false">IF($B14="","",J14-I14)</f>
        <v/>
      </c>
      <c r="L14" s="33" t="str">
        <f aca="false">IF($B14="","",IF(E14&gt;0,"⚠ DELAYED",IF(F14&gt;0,"△ DUE TODAY","● ON TRACK")))</f>
        <v/>
      </c>
      <c r="M14" s="2"/>
      <c r="N14" s="2"/>
    </row>
    <row r="15" customFormat="false" ht="15" hidden="false" customHeight="false" outlineLevel="0" collapsed="false">
      <c r="A15" s="29" t="str">
        <f aca="false">IF(案件マスタ!$B15="","",案件マスタ!$A15)</f>
        <v/>
      </c>
      <c r="B15" s="29" t="str">
        <f aca="false">IF(案件マスタ!$B15="","",案件マスタ!$B15)</f>
        <v/>
      </c>
      <c r="C15" s="30" t="str">
        <f aca="false">IF($B15="","",COUNTIF(タスク!$C$4:$C$503,$B15))</f>
        <v/>
      </c>
      <c r="D15" s="30" t="str">
        <f aca="false">IF($B15="","",COUNTIFS(タスク!$C$4:$C$503,$B15,タスク!$H$4:$H$503,"完了"))</f>
        <v/>
      </c>
      <c r="E15" s="30" t="str">
        <f aca="false">IF($B15="","",COUNTIFS(タスク!$C$4:$C$503,$B15,タスク!$J$4:$J$503,"🔴 OVERDUE"))</f>
        <v/>
      </c>
      <c r="F15" s="30" t="str">
        <f aca="false">IF($B15="","",COUNTIFS(タスク!$C$4:$C$503,$B15,タスク!$J$4:$J$503,"🟡 TODAY"))</f>
        <v/>
      </c>
      <c r="G15" s="30" t="str">
        <f aca="false">IF($B15="","",COUNTIFS(タスク!$C$4:$C$503,$B15,タスク!$H$4:$H$503,"レビュー待ち"))</f>
        <v/>
      </c>
      <c r="H15" s="31" t="str">
        <f aca="false">IF($B15="","",IF(C15=0,"",D15/C15))</f>
        <v/>
      </c>
      <c r="I15" s="32" t="str">
        <f aca="false">IF($B15="","",SUMIFS(タスク!$K$4:$K$503,タスク!$C$4:$C$503,$B15))</f>
        <v/>
      </c>
      <c r="J15" s="32" t="str">
        <f aca="false">IF($B15="","",SUMIFS(工数ログ!$E$4:$E$1003,工数ログ!$C$4:$C$1003,$B15))</f>
        <v/>
      </c>
      <c r="K15" s="32" t="str">
        <f aca="false">IF($B15="","",J15-I15)</f>
        <v/>
      </c>
      <c r="L15" s="33" t="str">
        <f aca="false">IF($B15="","",IF(E15&gt;0,"⚠ DELAYED",IF(F15&gt;0,"△ DUE TODAY","● ON TRACK")))</f>
        <v/>
      </c>
      <c r="M15" s="2"/>
      <c r="N15" s="2"/>
    </row>
    <row r="16" customFormat="false" ht="15" hidden="false" customHeight="false" outlineLevel="0" collapsed="false">
      <c r="A16" s="29" t="str">
        <f aca="false">IF(案件マスタ!$B16="","",案件マスタ!$A16)</f>
        <v/>
      </c>
      <c r="B16" s="29" t="str">
        <f aca="false">IF(案件マスタ!$B16="","",案件マスタ!$B16)</f>
        <v/>
      </c>
      <c r="C16" s="30" t="str">
        <f aca="false">IF($B16="","",COUNTIF(タスク!$C$4:$C$503,$B16))</f>
        <v/>
      </c>
      <c r="D16" s="30" t="str">
        <f aca="false">IF($B16="","",COUNTIFS(タスク!$C$4:$C$503,$B16,タスク!$H$4:$H$503,"完了"))</f>
        <v/>
      </c>
      <c r="E16" s="30" t="str">
        <f aca="false">IF($B16="","",COUNTIFS(タスク!$C$4:$C$503,$B16,タスク!$J$4:$J$503,"🔴 OVERDUE"))</f>
        <v/>
      </c>
      <c r="F16" s="30" t="str">
        <f aca="false">IF($B16="","",COUNTIFS(タスク!$C$4:$C$503,$B16,タスク!$J$4:$J$503,"🟡 TODAY"))</f>
        <v/>
      </c>
      <c r="G16" s="30" t="str">
        <f aca="false">IF($B16="","",COUNTIFS(タスク!$C$4:$C$503,$B16,タスク!$H$4:$H$503,"レビュー待ち"))</f>
        <v/>
      </c>
      <c r="H16" s="31" t="str">
        <f aca="false">IF($B16="","",IF(C16=0,"",D16/C16))</f>
        <v/>
      </c>
      <c r="I16" s="32" t="str">
        <f aca="false">IF($B16="","",SUMIFS(タスク!$K$4:$K$503,タスク!$C$4:$C$503,$B16))</f>
        <v/>
      </c>
      <c r="J16" s="32" t="str">
        <f aca="false">IF($B16="","",SUMIFS(工数ログ!$E$4:$E$1003,工数ログ!$C$4:$C$1003,$B16))</f>
        <v/>
      </c>
      <c r="K16" s="32" t="str">
        <f aca="false">IF($B16="","",J16-I16)</f>
        <v/>
      </c>
      <c r="L16" s="33" t="str">
        <f aca="false">IF($B16="","",IF(E16&gt;0,"⚠ DELAYED",IF(F16&gt;0,"△ DUE TODAY","● ON TRACK")))</f>
        <v/>
      </c>
      <c r="M16" s="2"/>
      <c r="N16" s="2"/>
    </row>
    <row r="17" customFormat="false" ht="15" hidden="false" customHeight="false" outlineLevel="0" collapsed="false">
      <c r="A17" s="29" t="str">
        <f aca="false">IF(案件マスタ!$B17="","",案件マスタ!$A17)</f>
        <v/>
      </c>
      <c r="B17" s="29" t="str">
        <f aca="false">IF(案件マスタ!$B17="","",案件マスタ!$B17)</f>
        <v/>
      </c>
      <c r="C17" s="30" t="str">
        <f aca="false">IF($B17="","",COUNTIF(タスク!$C$4:$C$503,$B17))</f>
        <v/>
      </c>
      <c r="D17" s="30" t="str">
        <f aca="false">IF($B17="","",COUNTIFS(タスク!$C$4:$C$503,$B17,タスク!$H$4:$H$503,"完了"))</f>
        <v/>
      </c>
      <c r="E17" s="30" t="str">
        <f aca="false">IF($B17="","",COUNTIFS(タスク!$C$4:$C$503,$B17,タスク!$J$4:$J$503,"🔴 OVERDUE"))</f>
        <v/>
      </c>
      <c r="F17" s="30" t="str">
        <f aca="false">IF($B17="","",COUNTIFS(タスク!$C$4:$C$503,$B17,タスク!$J$4:$J$503,"🟡 TODAY"))</f>
        <v/>
      </c>
      <c r="G17" s="30" t="str">
        <f aca="false">IF($B17="","",COUNTIFS(タスク!$C$4:$C$503,$B17,タスク!$H$4:$H$503,"レビュー待ち"))</f>
        <v/>
      </c>
      <c r="H17" s="31" t="str">
        <f aca="false">IF($B17="","",IF(C17=0,"",D17/C17))</f>
        <v/>
      </c>
      <c r="I17" s="32" t="str">
        <f aca="false">IF($B17="","",SUMIFS(タスク!$K$4:$K$503,タスク!$C$4:$C$503,$B17))</f>
        <v/>
      </c>
      <c r="J17" s="32" t="str">
        <f aca="false">IF($B17="","",SUMIFS(工数ログ!$E$4:$E$1003,工数ログ!$C$4:$C$1003,$B17))</f>
        <v/>
      </c>
      <c r="K17" s="32" t="str">
        <f aca="false">IF($B17="","",J17-I17)</f>
        <v/>
      </c>
      <c r="L17" s="33" t="str">
        <f aca="false">IF($B17="","",IF(E17&gt;0,"⚠ DELAYED",IF(F17&gt;0,"△ DUE TODAY","● ON TRACK")))</f>
        <v/>
      </c>
      <c r="M17" s="2"/>
      <c r="N17" s="2"/>
    </row>
    <row r="18" customFormat="false" ht="15" hidden="false" customHeight="false" outlineLevel="0" collapsed="false">
      <c r="A18" s="29" t="str">
        <f aca="false">IF(案件マスタ!$B18="","",案件マスタ!$A18)</f>
        <v/>
      </c>
      <c r="B18" s="29" t="str">
        <f aca="false">IF(案件マスタ!$B18="","",案件マスタ!$B18)</f>
        <v/>
      </c>
      <c r="C18" s="30" t="str">
        <f aca="false">IF($B18="","",COUNTIF(タスク!$C$4:$C$503,$B18))</f>
        <v/>
      </c>
      <c r="D18" s="30" t="str">
        <f aca="false">IF($B18="","",COUNTIFS(タスク!$C$4:$C$503,$B18,タスク!$H$4:$H$503,"完了"))</f>
        <v/>
      </c>
      <c r="E18" s="30" t="str">
        <f aca="false">IF($B18="","",COUNTIFS(タスク!$C$4:$C$503,$B18,タスク!$J$4:$J$503,"🔴 OVERDUE"))</f>
        <v/>
      </c>
      <c r="F18" s="30" t="str">
        <f aca="false">IF($B18="","",COUNTIFS(タスク!$C$4:$C$503,$B18,タスク!$J$4:$J$503,"🟡 TODAY"))</f>
        <v/>
      </c>
      <c r="G18" s="30" t="str">
        <f aca="false">IF($B18="","",COUNTIFS(タスク!$C$4:$C$503,$B18,タスク!$H$4:$H$503,"レビュー待ち"))</f>
        <v/>
      </c>
      <c r="H18" s="31" t="str">
        <f aca="false">IF($B18="","",IF(C18=0,"",D18/C18))</f>
        <v/>
      </c>
      <c r="I18" s="32" t="str">
        <f aca="false">IF($B18="","",SUMIFS(タスク!$K$4:$K$503,タスク!$C$4:$C$503,$B18))</f>
        <v/>
      </c>
      <c r="J18" s="32" t="str">
        <f aca="false">IF($B18="","",SUMIFS(工数ログ!$E$4:$E$1003,工数ログ!$C$4:$C$1003,$B18))</f>
        <v/>
      </c>
      <c r="K18" s="32" t="str">
        <f aca="false">IF($B18="","",J18-I18)</f>
        <v/>
      </c>
      <c r="L18" s="33" t="str">
        <f aca="false">IF($B18="","",IF(E18&gt;0,"⚠ DELAYED",IF(F18&gt;0,"△ DUE TODAY","● ON TRACK")))</f>
        <v/>
      </c>
      <c r="M18" s="2"/>
      <c r="N18" s="2"/>
    </row>
    <row r="19" customFormat="false" ht="15" hidden="false" customHeight="false" outlineLevel="0" collapsed="false">
      <c r="A19" s="29" t="str">
        <f aca="false">IF(案件マスタ!$B19="","",案件マスタ!$A19)</f>
        <v/>
      </c>
      <c r="B19" s="29" t="str">
        <f aca="false">IF(案件マスタ!$B19="","",案件マスタ!$B19)</f>
        <v/>
      </c>
      <c r="C19" s="30" t="str">
        <f aca="false">IF($B19="","",COUNTIF(タスク!$C$4:$C$503,$B19))</f>
        <v/>
      </c>
      <c r="D19" s="30" t="str">
        <f aca="false">IF($B19="","",COUNTIFS(タスク!$C$4:$C$503,$B19,タスク!$H$4:$H$503,"完了"))</f>
        <v/>
      </c>
      <c r="E19" s="30" t="str">
        <f aca="false">IF($B19="","",COUNTIFS(タスク!$C$4:$C$503,$B19,タスク!$J$4:$J$503,"🔴 OVERDUE"))</f>
        <v/>
      </c>
      <c r="F19" s="30" t="str">
        <f aca="false">IF($B19="","",COUNTIFS(タスク!$C$4:$C$503,$B19,タスク!$J$4:$J$503,"🟡 TODAY"))</f>
        <v/>
      </c>
      <c r="G19" s="30" t="str">
        <f aca="false">IF($B19="","",COUNTIFS(タスク!$C$4:$C$503,$B19,タスク!$H$4:$H$503,"レビュー待ち"))</f>
        <v/>
      </c>
      <c r="H19" s="31" t="str">
        <f aca="false">IF($B19="","",IF(C19=0,"",D19/C19))</f>
        <v/>
      </c>
      <c r="I19" s="32" t="str">
        <f aca="false">IF($B19="","",SUMIFS(タスク!$K$4:$K$503,タスク!$C$4:$C$503,$B19))</f>
        <v/>
      </c>
      <c r="J19" s="32" t="str">
        <f aca="false">IF($B19="","",SUMIFS(工数ログ!$E$4:$E$1003,工数ログ!$C$4:$C$1003,$B19))</f>
        <v/>
      </c>
      <c r="K19" s="32" t="str">
        <f aca="false">IF($B19="","",J19-I19)</f>
        <v/>
      </c>
      <c r="L19" s="33" t="str">
        <f aca="false">IF($B19="","",IF(E19&gt;0,"⚠ DELAYED",IF(F19&gt;0,"△ DUE TODAY","● ON TRACK")))</f>
        <v/>
      </c>
      <c r="M19" s="2"/>
      <c r="N19" s="2"/>
    </row>
    <row r="20" customFormat="false" ht="15" hidden="false" customHeight="false" outlineLevel="0" collapsed="false">
      <c r="A20" s="29" t="str">
        <f aca="false">IF(案件マスタ!$B20="","",案件マスタ!$A20)</f>
        <v/>
      </c>
      <c r="B20" s="29" t="str">
        <f aca="false">IF(案件マスタ!$B20="","",案件マスタ!$B20)</f>
        <v/>
      </c>
      <c r="C20" s="30" t="str">
        <f aca="false">IF($B20="","",COUNTIF(タスク!$C$4:$C$503,$B20))</f>
        <v/>
      </c>
      <c r="D20" s="30" t="str">
        <f aca="false">IF($B20="","",COUNTIFS(タスク!$C$4:$C$503,$B20,タスク!$H$4:$H$503,"完了"))</f>
        <v/>
      </c>
      <c r="E20" s="30" t="str">
        <f aca="false">IF($B20="","",COUNTIFS(タスク!$C$4:$C$503,$B20,タスク!$J$4:$J$503,"🔴 OVERDUE"))</f>
        <v/>
      </c>
      <c r="F20" s="30" t="str">
        <f aca="false">IF($B20="","",COUNTIFS(タスク!$C$4:$C$503,$B20,タスク!$J$4:$J$503,"🟡 TODAY"))</f>
        <v/>
      </c>
      <c r="G20" s="30" t="str">
        <f aca="false">IF($B20="","",COUNTIFS(タスク!$C$4:$C$503,$B20,タスク!$H$4:$H$503,"レビュー待ち"))</f>
        <v/>
      </c>
      <c r="H20" s="31" t="str">
        <f aca="false">IF($B20="","",IF(C20=0,"",D20/C20))</f>
        <v/>
      </c>
      <c r="I20" s="32" t="str">
        <f aca="false">IF($B20="","",SUMIFS(タスク!$K$4:$K$503,タスク!$C$4:$C$503,$B20))</f>
        <v/>
      </c>
      <c r="J20" s="32" t="str">
        <f aca="false">IF($B20="","",SUMIFS(工数ログ!$E$4:$E$1003,工数ログ!$C$4:$C$1003,$B20))</f>
        <v/>
      </c>
      <c r="K20" s="32" t="str">
        <f aca="false">IF($B20="","",J20-I20)</f>
        <v/>
      </c>
      <c r="L20" s="33" t="str">
        <f aca="false">IF($B20="","",IF(E20&gt;0,"⚠ DELAYED",IF(F20&gt;0,"△ DUE TODAY","● ON TRACK")))</f>
        <v/>
      </c>
      <c r="M20" s="2"/>
      <c r="N20" s="2"/>
    </row>
    <row r="21" customFormat="false" ht="15" hidden="false" customHeight="false" outlineLevel="0" collapsed="false">
      <c r="A21" s="29" t="str">
        <f aca="false">IF(案件マスタ!$B21="","",案件マスタ!$A21)</f>
        <v/>
      </c>
      <c r="B21" s="29" t="str">
        <f aca="false">IF(案件マスタ!$B21="","",案件マスタ!$B21)</f>
        <v/>
      </c>
      <c r="C21" s="30" t="str">
        <f aca="false">IF($B21="","",COUNTIF(タスク!$C$4:$C$503,$B21))</f>
        <v/>
      </c>
      <c r="D21" s="30" t="str">
        <f aca="false">IF($B21="","",COUNTIFS(タスク!$C$4:$C$503,$B21,タスク!$H$4:$H$503,"完了"))</f>
        <v/>
      </c>
      <c r="E21" s="30" t="str">
        <f aca="false">IF($B21="","",COUNTIFS(タスク!$C$4:$C$503,$B21,タスク!$J$4:$J$503,"🔴 OVERDUE"))</f>
        <v/>
      </c>
      <c r="F21" s="30" t="str">
        <f aca="false">IF($B21="","",COUNTIFS(タスク!$C$4:$C$503,$B21,タスク!$J$4:$J$503,"🟡 TODAY"))</f>
        <v/>
      </c>
      <c r="G21" s="30" t="str">
        <f aca="false">IF($B21="","",COUNTIFS(タスク!$C$4:$C$503,$B21,タスク!$H$4:$H$503,"レビュー待ち"))</f>
        <v/>
      </c>
      <c r="H21" s="31" t="str">
        <f aca="false">IF($B21="","",IF(C21=0,"",D21/C21))</f>
        <v/>
      </c>
      <c r="I21" s="32" t="str">
        <f aca="false">IF($B21="","",SUMIFS(タスク!$K$4:$K$503,タスク!$C$4:$C$503,$B21))</f>
        <v/>
      </c>
      <c r="J21" s="32" t="str">
        <f aca="false">IF($B21="","",SUMIFS(工数ログ!$E$4:$E$1003,工数ログ!$C$4:$C$1003,$B21))</f>
        <v/>
      </c>
      <c r="K21" s="32" t="str">
        <f aca="false">IF($B21="","",J21-I21)</f>
        <v/>
      </c>
      <c r="L21" s="33" t="str">
        <f aca="false">IF($B21="","",IF(E21&gt;0,"⚠ DELAYED",IF(F21&gt;0,"△ DUE TODAY","● ON TRACK")))</f>
        <v/>
      </c>
      <c r="M21" s="2"/>
      <c r="N21" s="2"/>
    </row>
    <row r="22" customFormat="false" ht="15" hidden="false" customHeight="false" outlineLevel="0" collapsed="false">
      <c r="A22" s="29" t="str">
        <f aca="false">IF(案件マスタ!$B22="","",案件マスタ!$A22)</f>
        <v/>
      </c>
      <c r="B22" s="29" t="str">
        <f aca="false">IF(案件マスタ!$B22="","",案件マスタ!$B22)</f>
        <v/>
      </c>
      <c r="C22" s="30" t="str">
        <f aca="false">IF($B22="","",COUNTIF(タスク!$C$4:$C$503,$B22))</f>
        <v/>
      </c>
      <c r="D22" s="30" t="str">
        <f aca="false">IF($B22="","",COUNTIFS(タスク!$C$4:$C$503,$B22,タスク!$H$4:$H$503,"完了"))</f>
        <v/>
      </c>
      <c r="E22" s="30" t="str">
        <f aca="false">IF($B22="","",COUNTIFS(タスク!$C$4:$C$503,$B22,タスク!$J$4:$J$503,"🔴 OVERDUE"))</f>
        <v/>
      </c>
      <c r="F22" s="30" t="str">
        <f aca="false">IF($B22="","",COUNTIFS(タスク!$C$4:$C$503,$B22,タスク!$J$4:$J$503,"🟡 TODAY"))</f>
        <v/>
      </c>
      <c r="G22" s="30" t="str">
        <f aca="false">IF($B22="","",COUNTIFS(タスク!$C$4:$C$503,$B22,タスク!$H$4:$H$503,"レビュー待ち"))</f>
        <v/>
      </c>
      <c r="H22" s="31" t="str">
        <f aca="false">IF($B22="","",IF(C22=0,"",D22/C22))</f>
        <v/>
      </c>
      <c r="I22" s="32" t="str">
        <f aca="false">IF($B22="","",SUMIFS(タスク!$K$4:$K$503,タスク!$C$4:$C$503,$B22))</f>
        <v/>
      </c>
      <c r="J22" s="32" t="str">
        <f aca="false">IF($B22="","",SUMIFS(工数ログ!$E$4:$E$1003,工数ログ!$C$4:$C$1003,$B22))</f>
        <v/>
      </c>
      <c r="K22" s="32" t="str">
        <f aca="false">IF($B22="","",J22-I22)</f>
        <v/>
      </c>
      <c r="L22" s="33" t="str">
        <f aca="false">IF($B22="","",IF(E22&gt;0,"⚠ DELAYED",IF(F22&gt;0,"△ DUE TODAY","● ON TRACK")))</f>
        <v/>
      </c>
      <c r="M22" s="2"/>
      <c r="N22" s="2"/>
    </row>
    <row r="23" customFormat="false" ht="15" hidden="false" customHeight="false" outlineLevel="0" collapsed="false">
      <c r="A23" s="29" t="str">
        <f aca="false">IF(案件マスタ!$B23="","",案件マスタ!$A23)</f>
        <v/>
      </c>
      <c r="B23" s="29" t="str">
        <f aca="false">IF(案件マスタ!$B23="","",案件マスタ!$B23)</f>
        <v/>
      </c>
      <c r="C23" s="30" t="str">
        <f aca="false">IF($B23="","",COUNTIF(タスク!$C$4:$C$503,$B23))</f>
        <v/>
      </c>
      <c r="D23" s="30" t="str">
        <f aca="false">IF($B23="","",COUNTIFS(タスク!$C$4:$C$503,$B23,タスク!$H$4:$H$503,"完了"))</f>
        <v/>
      </c>
      <c r="E23" s="30" t="str">
        <f aca="false">IF($B23="","",COUNTIFS(タスク!$C$4:$C$503,$B23,タスク!$J$4:$J$503,"🔴 OVERDUE"))</f>
        <v/>
      </c>
      <c r="F23" s="30" t="str">
        <f aca="false">IF($B23="","",COUNTIFS(タスク!$C$4:$C$503,$B23,タスク!$J$4:$J$503,"🟡 TODAY"))</f>
        <v/>
      </c>
      <c r="G23" s="30" t="str">
        <f aca="false">IF($B23="","",COUNTIFS(タスク!$C$4:$C$503,$B23,タスク!$H$4:$H$503,"レビュー待ち"))</f>
        <v/>
      </c>
      <c r="H23" s="31" t="str">
        <f aca="false">IF($B23="","",IF(C23=0,"",D23/C23))</f>
        <v/>
      </c>
      <c r="I23" s="32" t="str">
        <f aca="false">IF($B23="","",SUMIFS(タスク!$K$4:$K$503,タスク!$C$4:$C$503,$B23))</f>
        <v/>
      </c>
      <c r="J23" s="32" t="str">
        <f aca="false">IF($B23="","",SUMIFS(工数ログ!$E$4:$E$1003,工数ログ!$C$4:$C$1003,$B23))</f>
        <v/>
      </c>
      <c r="K23" s="32" t="str">
        <f aca="false">IF($B23="","",J23-I23)</f>
        <v/>
      </c>
      <c r="L23" s="33" t="str">
        <f aca="false">IF($B23="","",IF(E23&gt;0,"⚠ DELAYED",IF(F23&gt;0,"△ DUE TODAY","● ON TRACK")))</f>
        <v/>
      </c>
      <c r="M23" s="2"/>
      <c r="N23" s="2"/>
    </row>
    <row r="24" customFormat="false" ht="15" hidden="false" customHeight="false" outlineLevel="0" collapsed="false">
      <c r="A24" s="34"/>
      <c r="B24" s="34" t="s">
        <v>54</v>
      </c>
      <c r="C24" s="34" t="n">
        <f aca="false">SUM(C4:C23)</f>
        <v>5</v>
      </c>
      <c r="D24" s="34" t="n">
        <f aca="false">SUM(D4:D23)</f>
        <v>1</v>
      </c>
      <c r="E24" s="34" t="n">
        <f aca="false">SUM(E4:E23)</f>
        <v>1</v>
      </c>
      <c r="F24" s="34" t="n">
        <f aca="false">SUM(F4:F23)</f>
        <v>1</v>
      </c>
      <c r="G24" s="34" t="n">
        <f aca="false">SUM(G4:G23)</f>
        <v>1</v>
      </c>
      <c r="H24" s="34"/>
      <c r="I24" s="35" t="n">
        <f aca="false">SUM(I4:I23)</f>
        <v>40</v>
      </c>
      <c r="J24" s="35" t="n">
        <f aca="false">SUM(J4:J23)</f>
        <v>13</v>
      </c>
      <c r="K24" s="35" t="n">
        <f aca="false">SUM(K4:K23)</f>
        <v>-27</v>
      </c>
      <c r="L24" s="34"/>
      <c r="M24" s="2"/>
      <c r="N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conditionalFormatting sqref="L4:L23">
    <cfRule type="expression" priority="2" aboveAverage="0" equalAverage="0" bottom="0" percent="0" rank="0" text="" dxfId="23">
      <formula>$L4="⚠ DELAYED"</formula>
    </cfRule>
  </conditionalFormatting>
  <conditionalFormatting sqref="E4:E23">
    <cfRule type="cellIs" priority="3" operator="greaterThan" aboveAverage="0" equalAverage="0" bottom="0" percent="0" rank="0" text="" dxfId="24">
      <formula>0</formula>
    </cfRule>
  </conditionalFormatting>
  <conditionalFormatting sqref="K4:K23">
    <cfRule type="cellIs" priority="4" operator="greaterThan" aboveAverage="0" equalAverage="0" bottom="0" percent="0" rank="0" text="" dxfId="2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252"/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6" t="s">
        <v>57</v>
      </c>
      <c r="B4" s="37" t="s">
        <v>58</v>
      </c>
      <c r="C4" s="38" t="s">
        <v>59</v>
      </c>
      <c r="D4" s="39" t="s">
        <v>60</v>
      </c>
      <c r="E4" s="40" t="s">
        <v>61</v>
      </c>
      <c r="F4" s="41" t="s">
        <v>62</v>
      </c>
      <c r="G4" s="2"/>
      <c r="H4" s="2"/>
      <c r="I4" s="2"/>
      <c r="J4" s="2"/>
      <c r="K4" s="2"/>
      <c r="L4" s="2"/>
    </row>
    <row r="5" customFormat="false" ht="30" hidden="false" customHeight="true" outlineLevel="0" collapsed="false">
      <c r="A5" s="42" t="n">
        <f aca="false">COUNTIF(タスク!$J$4:$J$503,"🔴 OVERDUE")</f>
        <v>1</v>
      </c>
      <c r="B5" s="43" t="n">
        <f aca="false">COUNTIF(タスク!$J$4:$J$503,"🟡 TODAY")</f>
        <v>1</v>
      </c>
      <c r="C5" s="44" t="n">
        <f aca="false">COUNTIF(タスク!$H$4:$H$503,"レビュー待ち")</f>
        <v>1</v>
      </c>
      <c r="D5" s="45" t="n">
        <f aca="false">COUNTIF(タスク!$J$4:$J$503,"⚠ NO DUE")</f>
        <v>0</v>
      </c>
      <c r="E5" s="46" t="n">
        <f aca="false">COUNTIF(タスク!$H$4:$H$503,"進行中")</f>
        <v>2</v>
      </c>
      <c r="F5" s="47" t="n">
        <f aca="true">SUMIFS(工数ログ!$E$4:$E$1003,工数ログ!$A$4:$A$1003,TODAY())</f>
        <v>3.5</v>
      </c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48" t="s">
        <v>63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5" t="s">
        <v>6</v>
      </c>
      <c r="B9" s="5" t="s">
        <v>35</v>
      </c>
      <c r="C9" s="5" t="s">
        <v>21</v>
      </c>
      <c r="D9" s="5" t="s">
        <v>24</v>
      </c>
      <c r="E9" s="5" t="s">
        <v>49</v>
      </c>
      <c r="F9" s="5" t="s">
        <v>50</v>
      </c>
      <c r="G9" s="5" t="s">
        <v>64</v>
      </c>
      <c r="H9" s="5" t="s">
        <v>65</v>
      </c>
      <c r="I9" s="2"/>
      <c r="J9" s="2"/>
      <c r="K9" s="2"/>
      <c r="L9" s="2"/>
    </row>
    <row r="10" customFormat="false" ht="15" hidden="false" customHeight="false" outlineLevel="0" collapsed="false">
      <c r="A10" s="30" t="str">
        <f aca="false">IF(設定!$A$4="","",設定!$A$4)</f>
        <v>新人A</v>
      </c>
      <c r="B10" s="30" t="n">
        <f aca="false">IF(設定!$A$4="","",COUNTIFS(タスク!$E$4:$E$503,設定!$A$4,タスク!$H$4:$H$503,"未着手"))</f>
        <v>1</v>
      </c>
      <c r="C10" s="30" t="n">
        <f aca="false">IF(設定!$A$4="","",COUNTIFS(タスク!$E$4:$E$503,設定!$A$4,タスク!$H$4:$H$503,"進行中"))</f>
        <v>1</v>
      </c>
      <c r="D10" s="30" t="n">
        <f aca="false">IF(設定!$A$4="","",COUNTIFS(タスク!$E$4:$E$503,設定!$A$4,タスク!$H$4:$H$503,"レビュー待ち"))</f>
        <v>1</v>
      </c>
      <c r="E10" s="30" t="n">
        <f aca="false">IF(設定!$A$4="","",COUNTIFS(タスク!$E$4:$E$503,設定!$A$4,タスク!$J$4:$J$503,"🔴 OVERDUE"))</f>
        <v>1</v>
      </c>
      <c r="F10" s="30" t="n">
        <f aca="false">IF(設定!$A$4="","",COUNTIFS(タスク!$E$4:$E$503,設定!$A$4,タスク!$J$4:$J$503,"🟡 TODAY"))</f>
        <v>1</v>
      </c>
      <c r="G10" s="33" t="n">
        <f aca="false">IF(設定!$A$4="","",B10+C10+D10)</f>
        <v>3</v>
      </c>
      <c r="H10" s="32" t="n">
        <f aca="true">IF(設定!$A$4="","",SUMIFS(工数ログ!$E$4:$E$1003,工数ログ!$B$4:$B$1003,設定!$A$4,工数ログ!$A$4:$A$1003,TODAY()))</f>
        <v>2</v>
      </c>
      <c r="I10" s="2"/>
      <c r="J10" s="2"/>
      <c r="K10" s="2"/>
      <c r="L10" s="2"/>
    </row>
    <row r="11" customFormat="false" ht="15" hidden="false" customHeight="false" outlineLevel="0" collapsed="false">
      <c r="A11" s="30" t="str">
        <f aca="false">IF(設定!$A$5="","",設定!$A$5)</f>
        <v>新人B</v>
      </c>
      <c r="B11" s="30" t="n">
        <f aca="false">IF(設定!$A$5="","",COUNTIFS(タスク!$E$4:$E$503,設定!$A$5,タスク!$H$4:$H$503,"未着手"))</f>
        <v>0</v>
      </c>
      <c r="C11" s="30" t="n">
        <f aca="false">IF(設定!$A$5="","",COUNTIFS(タスク!$E$4:$E$503,設定!$A$5,タスク!$H$4:$H$503,"進行中"))</f>
        <v>1</v>
      </c>
      <c r="D11" s="30" t="n">
        <f aca="false">IF(設定!$A$5="","",COUNTIFS(タスク!$E$4:$E$503,設定!$A$5,タスク!$H$4:$H$503,"レビュー待ち"))</f>
        <v>0</v>
      </c>
      <c r="E11" s="30" t="n">
        <f aca="false">IF(設定!$A$5="","",COUNTIFS(タスク!$E$4:$E$503,設定!$A$5,タスク!$J$4:$J$503,"🔴 OVERDUE"))</f>
        <v>0</v>
      </c>
      <c r="F11" s="30" t="n">
        <f aca="false">IF(設定!$A$5="","",COUNTIFS(タスク!$E$4:$E$503,設定!$A$5,タスク!$J$4:$J$503,"🟡 TODAY"))</f>
        <v>0</v>
      </c>
      <c r="G11" s="33" t="n">
        <f aca="false">IF(設定!$A$5="","",B11+C11+D11)</f>
        <v>1</v>
      </c>
      <c r="H11" s="32" t="n">
        <f aca="true">IF(設定!$A$5="","",SUMIFS(工数ログ!$E$4:$E$1003,工数ログ!$B$4:$B$1003,設定!$A$5,工数ログ!$A$4:$A$1003,TODAY()))</f>
        <v>1.5</v>
      </c>
      <c r="I11" s="2"/>
      <c r="J11" s="2"/>
      <c r="K11" s="2"/>
      <c r="L11" s="2"/>
    </row>
    <row r="12" customFormat="false" ht="15" hidden="false" customHeight="false" outlineLevel="0" collapsed="false">
      <c r="A12" s="30" t="str">
        <f aca="false">IF(設定!$A$6="","",設定!$A$6)</f>
        <v>メンターX</v>
      </c>
      <c r="B12" s="30" t="n">
        <f aca="false">IF(設定!$A$6="","",COUNTIFS(タスク!$E$4:$E$503,設定!$A$6,タスク!$H$4:$H$503,"未着手"))</f>
        <v>0</v>
      </c>
      <c r="C12" s="30" t="n">
        <f aca="false">IF(設定!$A$6="","",COUNTIFS(タスク!$E$4:$E$503,設定!$A$6,タスク!$H$4:$H$503,"進行中"))</f>
        <v>0</v>
      </c>
      <c r="D12" s="30" t="n">
        <f aca="false">IF(設定!$A$6="","",COUNTIFS(タスク!$E$4:$E$503,設定!$A$6,タスク!$H$4:$H$503,"レビュー待ち"))</f>
        <v>0</v>
      </c>
      <c r="E12" s="30" t="n">
        <f aca="false">IF(設定!$A$6="","",COUNTIFS(タスク!$E$4:$E$503,設定!$A$6,タスク!$J$4:$J$503,"🔴 OVERDUE"))</f>
        <v>0</v>
      </c>
      <c r="F12" s="30" t="n">
        <f aca="false">IF(設定!$A$6="","",COUNTIFS(タスク!$E$4:$E$503,設定!$A$6,タスク!$J$4:$J$503,"🟡 TODAY"))</f>
        <v>0</v>
      </c>
      <c r="G12" s="33" t="n">
        <f aca="false">IF(設定!$A$6="","",B12+C12+D12)</f>
        <v>0</v>
      </c>
      <c r="H12" s="32" t="n">
        <f aca="true">IF(設定!$A$6="","",SUMIFS(工数ログ!$E$4:$E$1003,工数ログ!$B$4:$B$1003,設定!$A$6,工数ログ!$A$4:$A$1003,TODAY()))</f>
        <v>0</v>
      </c>
      <c r="I12" s="2"/>
      <c r="J12" s="2"/>
      <c r="K12" s="2"/>
      <c r="L12" s="2"/>
    </row>
    <row r="13" customFormat="false" ht="15" hidden="false" customHeight="false" outlineLevel="0" collapsed="false">
      <c r="A13" s="30" t="str">
        <f aca="false">IF(設定!$A$7="","",設定!$A$7)</f>
        <v>リーダーY</v>
      </c>
      <c r="B13" s="30" t="n">
        <f aca="false">IF(設定!$A$7="","",COUNTIFS(タスク!$E$4:$E$503,設定!$A$7,タスク!$H$4:$H$503,"未着手"))</f>
        <v>0</v>
      </c>
      <c r="C13" s="30" t="n">
        <f aca="false">IF(設定!$A$7="","",COUNTIFS(タスク!$E$4:$E$503,設定!$A$7,タスク!$H$4:$H$503,"進行中"))</f>
        <v>0</v>
      </c>
      <c r="D13" s="30" t="n">
        <f aca="false">IF(設定!$A$7="","",COUNTIFS(タスク!$E$4:$E$503,設定!$A$7,タスク!$H$4:$H$503,"レビュー待ち"))</f>
        <v>0</v>
      </c>
      <c r="E13" s="30" t="n">
        <f aca="false">IF(設定!$A$7="","",COUNTIFS(タスク!$E$4:$E$503,設定!$A$7,タスク!$J$4:$J$503,"🔴 OVERDUE"))</f>
        <v>0</v>
      </c>
      <c r="F13" s="30" t="n">
        <f aca="false">IF(設定!$A$7="","",COUNTIFS(タスク!$E$4:$E$503,設定!$A$7,タスク!$J$4:$J$503,"🟡 TODAY"))</f>
        <v>0</v>
      </c>
      <c r="G13" s="33" t="n">
        <f aca="false">IF(設定!$A$7="","",B13+C13+D13)</f>
        <v>0</v>
      </c>
      <c r="H13" s="32" t="n">
        <f aca="true">IF(設定!$A$7="","",SUMIFS(工数ログ!$E$4:$E$1003,工数ログ!$B$4:$B$1003,設定!$A$7,工数ログ!$A$4:$A$1003,TODAY()))</f>
        <v>0</v>
      </c>
      <c r="I13" s="2"/>
      <c r="J13" s="2"/>
      <c r="K13" s="2"/>
      <c r="L13" s="2"/>
    </row>
    <row r="14" customFormat="false" ht="15" hidden="false" customHeight="false" outlineLevel="0" collapsed="false">
      <c r="A14" s="30" t="str">
        <f aca="false">IF(設定!$A$8="","",設定!$A$8)</f>
        <v/>
      </c>
      <c r="B14" s="30" t="str">
        <f aca="false">IF(設定!$A$8="","",COUNTIFS(タスク!$E$4:$E$503,設定!$A$8,タスク!$H$4:$H$503,"未着手"))</f>
        <v/>
      </c>
      <c r="C14" s="30" t="str">
        <f aca="false">IF(設定!$A$8="","",COUNTIFS(タスク!$E$4:$E$503,設定!$A$8,タスク!$H$4:$H$503,"進行中"))</f>
        <v/>
      </c>
      <c r="D14" s="30" t="str">
        <f aca="false">IF(設定!$A$8="","",COUNTIFS(タスク!$E$4:$E$503,設定!$A$8,タスク!$H$4:$H$503,"レビュー待ち"))</f>
        <v/>
      </c>
      <c r="E14" s="30" t="str">
        <f aca="false">IF(設定!$A$8="","",COUNTIFS(タスク!$E$4:$E$503,設定!$A$8,タスク!$J$4:$J$503,"🔴 OVERDUE"))</f>
        <v/>
      </c>
      <c r="F14" s="30" t="str">
        <f aca="false">IF(設定!$A$8="","",COUNTIFS(タスク!$E$4:$E$503,設定!$A$8,タスク!$J$4:$J$503,"🟡 TODAY"))</f>
        <v/>
      </c>
      <c r="G14" s="33" t="str">
        <f aca="false">IF(設定!$A$8="","",B14+C14+D14)</f>
        <v/>
      </c>
      <c r="H14" s="32" t="str">
        <f aca="true">IF(設定!$A$8="","",SUMIFS(工数ログ!$E$4:$E$1003,工数ログ!$B$4:$B$1003,設定!$A$8,工数ログ!$A$4:$A$1003,TODAY()))</f>
        <v/>
      </c>
      <c r="I14" s="2"/>
      <c r="J14" s="2"/>
      <c r="K14" s="2"/>
      <c r="L14" s="2"/>
    </row>
    <row r="15" customFormat="false" ht="15" hidden="false" customHeight="false" outlineLevel="0" collapsed="false">
      <c r="A15" s="30" t="str">
        <f aca="false">IF(設定!$A$9="","",設定!$A$9)</f>
        <v/>
      </c>
      <c r="B15" s="30" t="str">
        <f aca="false">IF(設定!$A$9="","",COUNTIFS(タスク!$E$4:$E$503,設定!$A$9,タスク!$H$4:$H$503,"未着手"))</f>
        <v/>
      </c>
      <c r="C15" s="30" t="str">
        <f aca="false">IF(設定!$A$9="","",COUNTIFS(タスク!$E$4:$E$503,設定!$A$9,タスク!$H$4:$H$503,"進行中"))</f>
        <v/>
      </c>
      <c r="D15" s="30" t="str">
        <f aca="false">IF(設定!$A$9="","",COUNTIFS(タスク!$E$4:$E$503,設定!$A$9,タスク!$H$4:$H$503,"レビュー待ち"))</f>
        <v/>
      </c>
      <c r="E15" s="30" t="str">
        <f aca="false">IF(設定!$A$9="","",COUNTIFS(タスク!$E$4:$E$503,設定!$A$9,タスク!$J$4:$J$503,"🔴 OVERDUE"))</f>
        <v/>
      </c>
      <c r="F15" s="30" t="str">
        <f aca="false">IF(設定!$A$9="","",COUNTIFS(タスク!$E$4:$E$503,設定!$A$9,タスク!$J$4:$J$503,"🟡 TODAY"))</f>
        <v/>
      </c>
      <c r="G15" s="33" t="str">
        <f aca="false">IF(設定!$A$9="","",B15+C15+D15)</f>
        <v/>
      </c>
      <c r="H15" s="32" t="str">
        <f aca="true">IF(設定!$A$9="","",SUMIFS(工数ログ!$E$4:$E$1003,工数ログ!$B$4:$B$1003,設定!$A$9,工数ログ!$A$4:$A$1003,TODAY()))</f>
        <v/>
      </c>
      <c r="I15" s="2"/>
      <c r="J15" s="2"/>
      <c r="K15" s="2"/>
      <c r="L15" s="2"/>
    </row>
    <row r="16" customFormat="false" ht="15" hidden="false" customHeight="false" outlineLevel="0" collapsed="false">
      <c r="A16" s="30" t="str">
        <f aca="false">IF(設定!$A$10="","",設定!$A$10)</f>
        <v/>
      </c>
      <c r="B16" s="30" t="str">
        <f aca="false">IF(設定!$A$10="","",COUNTIFS(タスク!$E$4:$E$503,設定!$A$10,タスク!$H$4:$H$503,"未着手"))</f>
        <v/>
      </c>
      <c r="C16" s="30" t="str">
        <f aca="false">IF(設定!$A$10="","",COUNTIFS(タスク!$E$4:$E$503,設定!$A$10,タスク!$H$4:$H$503,"進行中"))</f>
        <v/>
      </c>
      <c r="D16" s="30" t="str">
        <f aca="false">IF(設定!$A$10="","",COUNTIFS(タスク!$E$4:$E$503,設定!$A$10,タスク!$H$4:$H$503,"レビュー待ち"))</f>
        <v/>
      </c>
      <c r="E16" s="30" t="str">
        <f aca="false">IF(設定!$A$10="","",COUNTIFS(タスク!$E$4:$E$503,設定!$A$10,タスク!$J$4:$J$503,"🔴 OVERDUE"))</f>
        <v/>
      </c>
      <c r="F16" s="30" t="str">
        <f aca="false">IF(設定!$A$10="","",COUNTIFS(タスク!$E$4:$E$503,設定!$A$10,タスク!$J$4:$J$503,"🟡 TODAY"))</f>
        <v/>
      </c>
      <c r="G16" s="33" t="str">
        <f aca="false">IF(設定!$A$10="","",B16+C16+D16)</f>
        <v/>
      </c>
      <c r="H16" s="32" t="str">
        <f aca="true">IF(設定!$A$10="","",SUMIFS(工数ログ!$E$4:$E$1003,工数ログ!$B$4:$B$1003,設定!$A$10,工数ログ!$A$4:$A$1003,TODAY()))</f>
        <v/>
      </c>
      <c r="I16" s="2"/>
      <c r="J16" s="2"/>
      <c r="K16" s="2"/>
      <c r="L16" s="2"/>
    </row>
    <row r="17" customFormat="false" ht="15" hidden="false" customHeight="false" outlineLevel="0" collapsed="false">
      <c r="A17" s="30" t="str">
        <f aca="false">IF(設定!$A$11="","",設定!$A$11)</f>
        <v/>
      </c>
      <c r="B17" s="30" t="str">
        <f aca="false">IF(設定!$A$11="","",COUNTIFS(タスク!$E$4:$E$503,設定!$A$11,タスク!$H$4:$H$503,"未着手"))</f>
        <v/>
      </c>
      <c r="C17" s="30" t="str">
        <f aca="false">IF(設定!$A$11="","",COUNTIFS(タスク!$E$4:$E$503,設定!$A$11,タスク!$H$4:$H$503,"進行中"))</f>
        <v/>
      </c>
      <c r="D17" s="30" t="str">
        <f aca="false">IF(設定!$A$11="","",COUNTIFS(タスク!$E$4:$E$503,設定!$A$11,タスク!$H$4:$H$503,"レビュー待ち"))</f>
        <v/>
      </c>
      <c r="E17" s="30" t="str">
        <f aca="false">IF(設定!$A$11="","",COUNTIFS(タスク!$E$4:$E$503,設定!$A$11,タスク!$J$4:$J$503,"🔴 OVERDUE"))</f>
        <v/>
      </c>
      <c r="F17" s="30" t="str">
        <f aca="false">IF(設定!$A$11="","",COUNTIFS(タスク!$E$4:$E$503,設定!$A$11,タスク!$J$4:$J$503,"🟡 TODAY"))</f>
        <v/>
      </c>
      <c r="G17" s="33" t="str">
        <f aca="false">IF(設定!$A$11="","",B17+C17+D17)</f>
        <v/>
      </c>
      <c r="H17" s="32" t="str">
        <f aca="true">IF(設定!$A$11="","",SUMIFS(工数ログ!$E$4:$E$1003,工数ログ!$B$4:$B$1003,設定!$A$11,工数ログ!$A$4:$A$1003,TODAY()))</f>
        <v/>
      </c>
      <c r="I17" s="2"/>
      <c r="J17" s="2"/>
      <c r="K17" s="2"/>
      <c r="L17" s="2"/>
    </row>
    <row r="18" customFormat="false" ht="15" hidden="false" customHeight="false" outlineLevel="0" collapsed="false">
      <c r="A18" s="30" t="str">
        <f aca="false">IF(設定!$A$12="","",設定!$A$12)</f>
        <v/>
      </c>
      <c r="B18" s="30" t="str">
        <f aca="false">IF(設定!$A$12="","",COUNTIFS(タスク!$E$4:$E$503,設定!$A$12,タスク!$H$4:$H$503,"未着手"))</f>
        <v/>
      </c>
      <c r="C18" s="30" t="str">
        <f aca="false">IF(設定!$A$12="","",COUNTIFS(タスク!$E$4:$E$503,設定!$A$12,タスク!$H$4:$H$503,"進行中"))</f>
        <v/>
      </c>
      <c r="D18" s="30" t="str">
        <f aca="false">IF(設定!$A$12="","",COUNTIFS(タスク!$E$4:$E$503,設定!$A$12,タスク!$H$4:$H$503,"レビュー待ち"))</f>
        <v/>
      </c>
      <c r="E18" s="30" t="str">
        <f aca="false">IF(設定!$A$12="","",COUNTIFS(タスク!$E$4:$E$503,設定!$A$12,タスク!$J$4:$J$503,"🔴 OVERDUE"))</f>
        <v/>
      </c>
      <c r="F18" s="30" t="str">
        <f aca="false">IF(設定!$A$12="","",COUNTIFS(タスク!$E$4:$E$503,設定!$A$12,タスク!$J$4:$J$503,"🟡 TODAY"))</f>
        <v/>
      </c>
      <c r="G18" s="33" t="str">
        <f aca="false">IF(設定!$A$12="","",B18+C18+D18)</f>
        <v/>
      </c>
      <c r="H18" s="32" t="str">
        <f aca="true">IF(設定!$A$12="","",SUMIFS(工数ログ!$E$4:$E$1003,工数ログ!$B$4:$B$1003,設定!$A$12,工数ログ!$A$4:$A$1003,TODAY()))</f>
        <v/>
      </c>
      <c r="I18" s="2"/>
      <c r="J18" s="2"/>
      <c r="K18" s="2"/>
      <c r="L18" s="2"/>
    </row>
    <row r="19" customFormat="false" ht="15" hidden="false" customHeight="false" outlineLevel="0" collapsed="false">
      <c r="A19" s="30" t="str">
        <f aca="false">IF(設定!$A$13="","",設定!$A$13)</f>
        <v/>
      </c>
      <c r="B19" s="30" t="str">
        <f aca="false">IF(設定!$A$13="","",COUNTIFS(タスク!$E$4:$E$503,設定!$A$13,タスク!$H$4:$H$503,"未着手"))</f>
        <v/>
      </c>
      <c r="C19" s="30" t="str">
        <f aca="false">IF(設定!$A$13="","",COUNTIFS(タスク!$E$4:$E$503,設定!$A$13,タスク!$H$4:$H$503,"進行中"))</f>
        <v/>
      </c>
      <c r="D19" s="30" t="str">
        <f aca="false">IF(設定!$A$13="","",COUNTIFS(タスク!$E$4:$E$503,設定!$A$13,タスク!$H$4:$H$503,"レビュー待ち"))</f>
        <v/>
      </c>
      <c r="E19" s="30" t="str">
        <f aca="false">IF(設定!$A$13="","",COUNTIFS(タスク!$E$4:$E$503,設定!$A$13,タスク!$J$4:$J$503,"🔴 OVERDUE"))</f>
        <v/>
      </c>
      <c r="F19" s="30" t="str">
        <f aca="false">IF(設定!$A$13="","",COUNTIFS(タスク!$E$4:$E$503,設定!$A$13,タスク!$J$4:$J$503,"🟡 TODAY"))</f>
        <v/>
      </c>
      <c r="G19" s="33" t="str">
        <f aca="false">IF(設定!$A$13="","",B19+C19+D19)</f>
        <v/>
      </c>
      <c r="H19" s="32" t="str">
        <f aca="true">IF(設定!$A$13="","",SUMIFS(工数ログ!$E$4:$E$1003,工数ログ!$B$4:$B$1003,設定!$A$13,工数ログ!$A$4:$A$1003,TODAY()))</f>
        <v/>
      </c>
      <c r="I19" s="2"/>
      <c r="J19" s="2"/>
      <c r="K19" s="2"/>
      <c r="L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48" t="s">
        <v>66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49" t="s">
        <v>67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49" t="s">
        <v>68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49" t="s">
        <v>69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49" t="s">
        <v>70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49" t="s">
        <v>71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49" t="s">
        <v>72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49" t="s">
        <v>73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</sheetData>
  <conditionalFormatting sqref="G10:G19">
    <cfRule type="expression" priority="2" aboveAverage="0" equalAverage="0" bottom="0" percent="0" rank="0" text="" dxfId="24">
      <formula>AND(G10&lt;&gt;"",G10&gt;=3)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9DDB"/>
    <pageSetUpPr fitToPage="false"/>
  </sheetPr>
  <dimension ref="A1:P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"/>
    <col collapsed="false" customWidth="true" hidden="false" outlineLevel="0" max="14" min="3" style="0" width="9"/>
  </cols>
  <sheetData>
    <row r="1" customFormat="false" ht="17.35" hidden="false" customHeight="false" outlineLevel="0" collapsed="false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" t="s">
        <v>76</v>
      </c>
      <c r="B3" s="2"/>
      <c r="C3" s="50" t="n">
        <v>46266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5" t="s">
        <v>77</v>
      </c>
      <c r="B5" s="2"/>
      <c r="C5" s="51" t="n">
        <f aca="false">EDATE($C$3,0)</f>
        <v>46266</v>
      </c>
      <c r="D5" s="51" t="n">
        <f aca="false">EDATE($C$3,1)</f>
        <v>46296</v>
      </c>
      <c r="E5" s="51" t="n">
        <f aca="false">EDATE($C$3,2)</f>
        <v>46327</v>
      </c>
      <c r="F5" s="51" t="n">
        <f aca="false">EDATE($C$3,3)</f>
        <v>46357</v>
      </c>
      <c r="G5" s="51" t="n">
        <f aca="false">EDATE($C$3,4)</f>
        <v>46388</v>
      </c>
      <c r="H5" s="51" t="n">
        <f aca="false">EDATE($C$3,5)</f>
        <v>46419</v>
      </c>
      <c r="I5" s="51" t="n">
        <f aca="false">EDATE($C$3,6)</f>
        <v>46447</v>
      </c>
      <c r="J5" s="51" t="n">
        <f aca="false">EDATE($C$3,7)</f>
        <v>46478</v>
      </c>
      <c r="K5" s="51" t="n">
        <f aca="false">EDATE($C$3,8)</f>
        <v>46508</v>
      </c>
      <c r="L5" s="51" t="n">
        <f aca="false">EDATE($C$3,9)</f>
        <v>46539</v>
      </c>
      <c r="M5" s="51" t="n">
        <f aca="false">EDATE($C$3,10)</f>
        <v>46569</v>
      </c>
      <c r="N5" s="51" t="n">
        <f aca="false">EDATE($C$3,11)</f>
        <v>46600</v>
      </c>
      <c r="O5" s="2"/>
      <c r="P5" s="2"/>
    </row>
    <row r="6" customFormat="false" ht="15" hidden="false" customHeight="false" outlineLevel="0" collapsed="false">
      <c r="A6" s="52" t="str">
        <f aca="false">IF(案件マスタ!$B4="","",案件マスタ!$B4)</f>
        <v>A社_無線LAN更改</v>
      </c>
      <c r="B6" s="2"/>
      <c r="C6" s="53" t="n">
        <v>40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2"/>
      <c r="P6" s="2"/>
    </row>
    <row r="7" customFormat="false" ht="15" hidden="false" customHeight="false" outlineLevel="0" collapsed="false">
      <c r="A7" s="52" t="str">
        <f aca="false">IF(案件マスタ!$B5="","",案件マスタ!$B5)</f>
        <v>A社_FW更改</v>
      </c>
      <c r="B7" s="2"/>
      <c r="C7" s="53" t="n">
        <v>24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2"/>
      <c r="P7" s="2"/>
    </row>
    <row r="8" customFormat="false" ht="15" hidden="false" customHeight="false" outlineLevel="0" collapsed="false">
      <c r="A8" s="52" t="str">
        <f aca="false">IF(案件マスタ!$B6="","",案件マスタ!$B6)</f>
        <v>B社_監視導入</v>
      </c>
      <c r="B8" s="2"/>
      <c r="C8" s="53" t="n">
        <v>16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2"/>
      <c r="P8" s="2"/>
    </row>
    <row r="9" customFormat="false" ht="15" hidden="false" customHeight="false" outlineLevel="0" collapsed="false">
      <c r="A9" s="52" t="str">
        <f aca="false">IF(案件マスタ!$B7="","",案件マスタ!$B7)</f>
        <v/>
      </c>
      <c r="B9" s="2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2"/>
      <c r="P9" s="2"/>
    </row>
    <row r="10" customFormat="false" ht="15" hidden="false" customHeight="false" outlineLevel="0" collapsed="false">
      <c r="A10" s="52" t="str">
        <f aca="false">IF(案件マスタ!$B8="","",案件マスタ!$B8)</f>
        <v/>
      </c>
      <c r="B10" s="2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2"/>
      <c r="P10" s="2"/>
    </row>
    <row r="11" customFormat="false" ht="15" hidden="false" customHeight="false" outlineLevel="0" collapsed="false">
      <c r="A11" s="52" t="str">
        <f aca="false">IF(案件マスタ!$B9="","",案件マスタ!$B9)</f>
        <v/>
      </c>
      <c r="B11" s="2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2"/>
      <c r="P11" s="2"/>
    </row>
    <row r="12" customFormat="false" ht="15" hidden="false" customHeight="false" outlineLevel="0" collapsed="false">
      <c r="A12" s="52" t="str">
        <f aca="false">IF(案件マスタ!$B10="","",案件マスタ!$B10)</f>
        <v/>
      </c>
      <c r="B12" s="2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2"/>
      <c r="P12" s="2"/>
    </row>
    <row r="13" customFormat="false" ht="15" hidden="false" customHeight="false" outlineLevel="0" collapsed="false">
      <c r="A13" s="52" t="str">
        <f aca="false">IF(案件マスタ!$B11="","",案件マスタ!$B11)</f>
        <v/>
      </c>
      <c r="B13" s="2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2"/>
      <c r="P13" s="2"/>
    </row>
    <row r="14" customFormat="false" ht="15" hidden="false" customHeight="false" outlineLevel="0" collapsed="false">
      <c r="A14" s="52" t="str">
        <f aca="false">IF(案件マスタ!$B12="","",案件マスタ!$B12)</f>
        <v/>
      </c>
      <c r="B14" s="2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2"/>
      <c r="P14" s="2"/>
    </row>
    <row r="15" customFormat="false" ht="15" hidden="false" customHeight="false" outlineLevel="0" collapsed="false">
      <c r="A15" s="52" t="str">
        <f aca="false">IF(案件マスタ!$B13="","",案件マスタ!$B13)</f>
        <v/>
      </c>
      <c r="B15" s="2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2"/>
      <c r="P15" s="2"/>
    </row>
    <row r="16" customFormat="false" ht="15" hidden="false" customHeight="false" outlineLevel="0" collapsed="false">
      <c r="A16" s="52" t="str">
        <f aca="false">IF(案件マスタ!$B14="","",案件マスタ!$B14)</f>
        <v/>
      </c>
      <c r="B16" s="2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2"/>
      <c r="P16" s="2"/>
    </row>
    <row r="17" customFormat="false" ht="15" hidden="false" customHeight="false" outlineLevel="0" collapsed="false">
      <c r="A17" s="52" t="str">
        <f aca="false">IF(案件マスタ!$B15="","",案件マスタ!$B15)</f>
        <v/>
      </c>
      <c r="B17" s="2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2"/>
      <c r="P17" s="2"/>
    </row>
    <row r="18" customFormat="false" ht="15" hidden="false" customHeight="false" outlineLevel="0" collapsed="false">
      <c r="A18" s="52" t="str">
        <f aca="false">IF(案件マスタ!$B16="","",案件マスタ!$B16)</f>
        <v/>
      </c>
      <c r="B18" s="2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2"/>
      <c r="P18" s="2"/>
    </row>
    <row r="19" customFormat="false" ht="15" hidden="false" customHeight="false" outlineLevel="0" collapsed="false">
      <c r="A19" s="52" t="str">
        <f aca="false">IF(案件マスタ!$B17="","",案件マスタ!$B17)</f>
        <v/>
      </c>
      <c r="B19" s="2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2"/>
      <c r="P19" s="2"/>
    </row>
    <row r="20" customFormat="false" ht="15" hidden="false" customHeight="false" outlineLevel="0" collapsed="false">
      <c r="A20" s="52" t="str">
        <f aca="false">IF(案件マスタ!$B18="","",案件マスタ!$B18)</f>
        <v/>
      </c>
      <c r="B20" s="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2"/>
      <c r="P20" s="2"/>
    </row>
    <row r="21" customFormat="false" ht="15" hidden="false" customHeight="false" outlineLevel="0" collapsed="false">
      <c r="A21" s="52" t="str">
        <f aca="false">IF(案件マスタ!$B19="","",案件マスタ!$B19)</f>
        <v/>
      </c>
      <c r="B21" s="2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2"/>
      <c r="P21" s="2"/>
    </row>
    <row r="22" customFormat="false" ht="15" hidden="false" customHeight="false" outlineLevel="0" collapsed="false">
      <c r="A22" s="52" t="str">
        <f aca="false">IF(案件マスタ!$B20="","",案件マスタ!$B20)</f>
        <v/>
      </c>
      <c r="B22" s="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2"/>
      <c r="P22" s="2"/>
    </row>
    <row r="23" customFormat="false" ht="15" hidden="false" customHeight="false" outlineLevel="0" collapsed="false">
      <c r="A23" s="52" t="str">
        <f aca="false">IF(案件マスタ!$B21="","",案件マスタ!$B21)</f>
        <v/>
      </c>
      <c r="B23" s="2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2"/>
      <c r="P23" s="2"/>
    </row>
    <row r="24" customFormat="false" ht="15" hidden="false" customHeight="false" outlineLevel="0" collapsed="false">
      <c r="A24" s="52" t="str">
        <f aca="false">IF(案件マスタ!$B22="","",案件マスタ!$B22)</f>
        <v/>
      </c>
      <c r="B24" s="2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2"/>
      <c r="P24" s="2"/>
    </row>
    <row r="25" customFormat="false" ht="15" hidden="false" customHeight="false" outlineLevel="0" collapsed="false">
      <c r="A25" s="52" t="str">
        <f aca="false">IF(案件マスタ!$B23="","",案件マスタ!$B23)</f>
        <v/>
      </c>
      <c r="B25" s="2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"/>
      <c r="P25" s="2"/>
    </row>
    <row r="26" customFormat="false" ht="15" hidden="false" customHeight="false" outlineLevel="0" collapsed="false">
      <c r="A26" s="54" t="s">
        <v>54</v>
      </c>
      <c r="B26" s="2"/>
      <c r="C26" s="55" t="n">
        <f aca="false">SUM(C6:C25)</f>
        <v>80</v>
      </c>
      <c r="D26" s="55" t="n">
        <f aca="false">SUM(D6:D25)</f>
        <v>0</v>
      </c>
      <c r="E26" s="55" t="n">
        <f aca="false">SUM(E6:E25)</f>
        <v>0</v>
      </c>
      <c r="F26" s="55" t="n">
        <f aca="false">SUM(F6:F25)</f>
        <v>0</v>
      </c>
      <c r="G26" s="55" t="n">
        <f aca="false">SUM(G6:G25)</f>
        <v>0</v>
      </c>
      <c r="H26" s="55" t="n">
        <f aca="false">SUM(H6:H25)</f>
        <v>0</v>
      </c>
      <c r="I26" s="55" t="n">
        <f aca="false">SUM(I6:I25)</f>
        <v>0</v>
      </c>
      <c r="J26" s="55" t="n">
        <f aca="false">SUM(J6:J25)</f>
        <v>0</v>
      </c>
      <c r="K26" s="55" t="n">
        <f aca="false">SUM(K6:K25)</f>
        <v>0</v>
      </c>
      <c r="L26" s="55" t="n">
        <f aca="false">SUM(L6:L25)</f>
        <v>0</v>
      </c>
      <c r="M26" s="55" t="n">
        <f aca="false">SUM(M6:M25)</f>
        <v>0</v>
      </c>
      <c r="N26" s="55" t="n">
        <f aca="false">SUM(N6:N25)</f>
        <v>0</v>
      </c>
      <c r="O26" s="2"/>
      <c r="P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5" hidden="false" customHeight="false" outlineLevel="0" collapsed="false">
      <c r="A28" s="5" t="s">
        <v>78</v>
      </c>
      <c r="B28" s="2"/>
      <c r="C28" s="51" t="n">
        <f aca="false">EDATE($C$3,0)</f>
        <v>46266</v>
      </c>
      <c r="D28" s="51" t="n">
        <f aca="false">EDATE($C$3,1)</f>
        <v>46296</v>
      </c>
      <c r="E28" s="51" t="n">
        <f aca="false">EDATE($C$3,2)</f>
        <v>46327</v>
      </c>
      <c r="F28" s="51" t="n">
        <f aca="false">EDATE($C$3,3)</f>
        <v>46357</v>
      </c>
      <c r="G28" s="51" t="n">
        <f aca="false">EDATE($C$3,4)</f>
        <v>46388</v>
      </c>
      <c r="H28" s="51" t="n">
        <f aca="false">EDATE($C$3,5)</f>
        <v>46419</v>
      </c>
      <c r="I28" s="51" t="n">
        <f aca="false">EDATE($C$3,6)</f>
        <v>46447</v>
      </c>
      <c r="J28" s="51" t="n">
        <f aca="false">EDATE($C$3,7)</f>
        <v>46478</v>
      </c>
      <c r="K28" s="51" t="n">
        <f aca="false">EDATE($C$3,8)</f>
        <v>46508</v>
      </c>
      <c r="L28" s="51" t="n">
        <f aca="false">EDATE($C$3,9)</f>
        <v>46539</v>
      </c>
      <c r="M28" s="51" t="n">
        <f aca="false">EDATE($C$3,10)</f>
        <v>46569</v>
      </c>
      <c r="N28" s="51" t="n">
        <f aca="false">EDATE($C$3,11)</f>
        <v>46600</v>
      </c>
      <c r="O28" s="2"/>
      <c r="P28" s="2"/>
    </row>
    <row r="29" customFormat="false" ht="15" hidden="false" customHeight="false" outlineLevel="0" collapsed="false">
      <c r="A29" s="52" t="str">
        <f aca="false">IF(案件マスタ!$B4="","",案件マスタ!$B4)</f>
        <v>A社_無線LAN更改</v>
      </c>
      <c r="B29" s="2"/>
      <c r="C29" s="56" t="n">
        <f aca="false">IF($A29="","",SUMIFS(工数ログ!$E$4:$E$1003,工数ログ!$C$4:$C$1003,$A29,工数ログ!$A$4:$A$1003,"&gt;="&amp;C$28,工数ログ!$A$4:$A$1003,"&lt;"&amp;EDATE(C$28,1)))</f>
        <v>7.5</v>
      </c>
      <c r="D29" s="56" t="n">
        <f aca="false">IF($A29="","",SUMIFS(工数ログ!$E$4:$E$1003,工数ログ!$C$4:$C$1003,$A29,工数ログ!$A$4:$A$1003,"&gt;="&amp;D$28,工数ログ!$A$4:$A$1003,"&lt;"&amp;EDATE(D$28,1)))</f>
        <v>0</v>
      </c>
      <c r="E29" s="56" t="n">
        <f aca="false">IF($A29="","",SUMIFS(工数ログ!$E$4:$E$1003,工数ログ!$C$4:$C$1003,$A29,工数ログ!$A$4:$A$1003,"&gt;="&amp;E$28,工数ログ!$A$4:$A$1003,"&lt;"&amp;EDATE(E$28,1)))</f>
        <v>0</v>
      </c>
      <c r="F29" s="56" t="n">
        <f aca="false">IF($A29="","",SUMIFS(工数ログ!$E$4:$E$1003,工数ログ!$C$4:$C$1003,$A29,工数ログ!$A$4:$A$1003,"&gt;="&amp;F$28,工数ログ!$A$4:$A$1003,"&lt;"&amp;EDATE(F$28,1)))</f>
        <v>0</v>
      </c>
      <c r="G29" s="56" t="n">
        <f aca="false">IF($A29="","",SUMIFS(工数ログ!$E$4:$E$1003,工数ログ!$C$4:$C$1003,$A29,工数ログ!$A$4:$A$1003,"&gt;="&amp;G$28,工数ログ!$A$4:$A$1003,"&lt;"&amp;EDATE(G$28,1)))</f>
        <v>0</v>
      </c>
      <c r="H29" s="56" t="n">
        <f aca="false">IF($A29="","",SUMIFS(工数ログ!$E$4:$E$1003,工数ログ!$C$4:$C$1003,$A29,工数ログ!$A$4:$A$1003,"&gt;="&amp;H$28,工数ログ!$A$4:$A$1003,"&lt;"&amp;EDATE(H$28,1)))</f>
        <v>0</v>
      </c>
      <c r="I29" s="56" t="n">
        <f aca="false">IF($A29="","",SUMIFS(工数ログ!$E$4:$E$1003,工数ログ!$C$4:$C$1003,$A29,工数ログ!$A$4:$A$1003,"&gt;="&amp;I$28,工数ログ!$A$4:$A$1003,"&lt;"&amp;EDATE(I$28,1)))</f>
        <v>0</v>
      </c>
      <c r="J29" s="56" t="n">
        <f aca="false">IF($A29="","",SUMIFS(工数ログ!$E$4:$E$1003,工数ログ!$C$4:$C$1003,$A29,工数ログ!$A$4:$A$1003,"&gt;="&amp;J$28,工数ログ!$A$4:$A$1003,"&lt;"&amp;EDATE(J$28,1)))</f>
        <v>0</v>
      </c>
      <c r="K29" s="56" t="n">
        <f aca="false">IF($A29="","",SUMIFS(工数ログ!$E$4:$E$1003,工数ログ!$C$4:$C$1003,$A29,工数ログ!$A$4:$A$1003,"&gt;="&amp;K$28,工数ログ!$A$4:$A$1003,"&lt;"&amp;EDATE(K$28,1)))</f>
        <v>0</v>
      </c>
      <c r="L29" s="56" t="n">
        <f aca="false">IF($A29="","",SUMIFS(工数ログ!$E$4:$E$1003,工数ログ!$C$4:$C$1003,$A29,工数ログ!$A$4:$A$1003,"&gt;="&amp;L$28,工数ログ!$A$4:$A$1003,"&lt;"&amp;EDATE(L$28,1)))</f>
        <v>0</v>
      </c>
      <c r="M29" s="56" t="n">
        <f aca="false">IF($A29="","",SUMIFS(工数ログ!$E$4:$E$1003,工数ログ!$C$4:$C$1003,$A29,工数ログ!$A$4:$A$1003,"&gt;="&amp;M$28,工数ログ!$A$4:$A$1003,"&lt;"&amp;EDATE(M$28,1)))</f>
        <v>0</v>
      </c>
      <c r="N29" s="56" t="n">
        <f aca="false">IF($A29="","",SUMIFS(工数ログ!$E$4:$E$1003,工数ログ!$C$4:$C$1003,$A29,工数ログ!$A$4:$A$1003,"&gt;="&amp;N$28,工数ログ!$A$4:$A$1003,"&lt;"&amp;EDATE(N$28,1)))</f>
        <v>0</v>
      </c>
      <c r="O29" s="2"/>
      <c r="P29" s="2"/>
    </row>
    <row r="30" customFormat="false" ht="15" hidden="false" customHeight="false" outlineLevel="0" collapsed="false">
      <c r="A30" s="52" t="str">
        <f aca="false">IF(案件マスタ!$B5="","",案件マスタ!$B5)</f>
        <v>A社_FW更改</v>
      </c>
      <c r="B30" s="2"/>
      <c r="C30" s="56" t="n">
        <f aca="false">IF($A30="","",SUMIFS(工数ログ!$E$4:$E$1003,工数ログ!$C$4:$C$1003,$A30,工数ログ!$A$4:$A$1003,"&gt;="&amp;C$28,工数ログ!$A$4:$A$1003,"&lt;"&amp;EDATE(C$28,1)))</f>
        <v>1.5</v>
      </c>
      <c r="D30" s="56" t="n">
        <f aca="false">IF($A30="","",SUMIFS(工数ログ!$E$4:$E$1003,工数ログ!$C$4:$C$1003,$A30,工数ログ!$A$4:$A$1003,"&gt;="&amp;D$28,工数ログ!$A$4:$A$1003,"&lt;"&amp;EDATE(D$28,1)))</f>
        <v>0</v>
      </c>
      <c r="E30" s="56" t="n">
        <f aca="false">IF($A30="","",SUMIFS(工数ログ!$E$4:$E$1003,工数ログ!$C$4:$C$1003,$A30,工数ログ!$A$4:$A$1003,"&gt;="&amp;E$28,工数ログ!$A$4:$A$1003,"&lt;"&amp;EDATE(E$28,1)))</f>
        <v>0</v>
      </c>
      <c r="F30" s="56" t="n">
        <f aca="false">IF($A30="","",SUMIFS(工数ログ!$E$4:$E$1003,工数ログ!$C$4:$C$1003,$A30,工数ログ!$A$4:$A$1003,"&gt;="&amp;F$28,工数ログ!$A$4:$A$1003,"&lt;"&amp;EDATE(F$28,1)))</f>
        <v>0</v>
      </c>
      <c r="G30" s="56" t="n">
        <f aca="false">IF($A30="","",SUMIFS(工数ログ!$E$4:$E$1003,工数ログ!$C$4:$C$1003,$A30,工数ログ!$A$4:$A$1003,"&gt;="&amp;G$28,工数ログ!$A$4:$A$1003,"&lt;"&amp;EDATE(G$28,1)))</f>
        <v>0</v>
      </c>
      <c r="H30" s="56" t="n">
        <f aca="false">IF($A30="","",SUMIFS(工数ログ!$E$4:$E$1003,工数ログ!$C$4:$C$1003,$A30,工数ログ!$A$4:$A$1003,"&gt;="&amp;H$28,工数ログ!$A$4:$A$1003,"&lt;"&amp;EDATE(H$28,1)))</f>
        <v>0</v>
      </c>
      <c r="I30" s="56" t="n">
        <f aca="false">IF($A30="","",SUMIFS(工数ログ!$E$4:$E$1003,工数ログ!$C$4:$C$1003,$A30,工数ログ!$A$4:$A$1003,"&gt;="&amp;I$28,工数ログ!$A$4:$A$1003,"&lt;"&amp;EDATE(I$28,1)))</f>
        <v>0</v>
      </c>
      <c r="J30" s="56" t="n">
        <f aca="false">IF($A30="","",SUMIFS(工数ログ!$E$4:$E$1003,工数ログ!$C$4:$C$1003,$A30,工数ログ!$A$4:$A$1003,"&gt;="&amp;J$28,工数ログ!$A$4:$A$1003,"&lt;"&amp;EDATE(J$28,1)))</f>
        <v>0</v>
      </c>
      <c r="K30" s="56" t="n">
        <f aca="false">IF($A30="","",SUMIFS(工数ログ!$E$4:$E$1003,工数ログ!$C$4:$C$1003,$A30,工数ログ!$A$4:$A$1003,"&gt;="&amp;K$28,工数ログ!$A$4:$A$1003,"&lt;"&amp;EDATE(K$28,1)))</f>
        <v>0</v>
      </c>
      <c r="L30" s="56" t="n">
        <f aca="false">IF($A30="","",SUMIFS(工数ログ!$E$4:$E$1003,工数ログ!$C$4:$C$1003,$A30,工数ログ!$A$4:$A$1003,"&gt;="&amp;L$28,工数ログ!$A$4:$A$1003,"&lt;"&amp;EDATE(L$28,1)))</f>
        <v>0</v>
      </c>
      <c r="M30" s="56" t="n">
        <f aca="false">IF($A30="","",SUMIFS(工数ログ!$E$4:$E$1003,工数ログ!$C$4:$C$1003,$A30,工数ログ!$A$4:$A$1003,"&gt;="&amp;M$28,工数ログ!$A$4:$A$1003,"&lt;"&amp;EDATE(M$28,1)))</f>
        <v>0</v>
      </c>
      <c r="N30" s="56" t="n">
        <f aca="false">IF($A30="","",SUMIFS(工数ログ!$E$4:$E$1003,工数ログ!$C$4:$C$1003,$A30,工数ログ!$A$4:$A$1003,"&gt;="&amp;N$28,工数ログ!$A$4:$A$1003,"&lt;"&amp;EDATE(N$28,1)))</f>
        <v>0</v>
      </c>
      <c r="O30" s="2"/>
      <c r="P30" s="2"/>
    </row>
    <row r="31" customFormat="false" ht="15" hidden="false" customHeight="false" outlineLevel="0" collapsed="false">
      <c r="A31" s="52" t="str">
        <f aca="false">IF(案件マスタ!$B6="","",案件マスタ!$B6)</f>
        <v>B社_監視導入</v>
      </c>
      <c r="B31" s="2"/>
      <c r="C31" s="56" t="n">
        <f aca="false">IF($A31="","",SUMIFS(工数ログ!$E$4:$E$1003,工数ログ!$C$4:$C$1003,$A31,工数ログ!$A$4:$A$1003,"&gt;="&amp;C$28,工数ログ!$A$4:$A$1003,"&lt;"&amp;EDATE(C$28,1)))</f>
        <v>4</v>
      </c>
      <c r="D31" s="56" t="n">
        <f aca="false">IF($A31="","",SUMIFS(工数ログ!$E$4:$E$1003,工数ログ!$C$4:$C$1003,$A31,工数ログ!$A$4:$A$1003,"&gt;="&amp;D$28,工数ログ!$A$4:$A$1003,"&lt;"&amp;EDATE(D$28,1)))</f>
        <v>0</v>
      </c>
      <c r="E31" s="56" t="n">
        <f aca="false">IF($A31="","",SUMIFS(工数ログ!$E$4:$E$1003,工数ログ!$C$4:$C$1003,$A31,工数ログ!$A$4:$A$1003,"&gt;="&amp;E$28,工数ログ!$A$4:$A$1003,"&lt;"&amp;EDATE(E$28,1)))</f>
        <v>0</v>
      </c>
      <c r="F31" s="56" t="n">
        <f aca="false">IF($A31="","",SUMIFS(工数ログ!$E$4:$E$1003,工数ログ!$C$4:$C$1003,$A31,工数ログ!$A$4:$A$1003,"&gt;="&amp;F$28,工数ログ!$A$4:$A$1003,"&lt;"&amp;EDATE(F$28,1)))</f>
        <v>0</v>
      </c>
      <c r="G31" s="56" t="n">
        <f aca="false">IF($A31="","",SUMIFS(工数ログ!$E$4:$E$1003,工数ログ!$C$4:$C$1003,$A31,工数ログ!$A$4:$A$1003,"&gt;="&amp;G$28,工数ログ!$A$4:$A$1003,"&lt;"&amp;EDATE(G$28,1)))</f>
        <v>0</v>
      </c>
      <c r="H31" s="56" t="n">
        <f aca="false">IF($A31="","",SUMIFS(工数ログ!$E$4:$E$1003,工数ログ!$C$4:$C$1003,$A31,工数ログ!$A$4:$A$1003,"&gt;="&amp;H$28,工数ログ!$A$4:$A$1003,"&lt;"&amp;EDATE(H$28,1)))</f>
        <v>0</v>
      </c>
      <c r="I31" s="56" t="n">
        <f aca="false">IF($A31="","",SUMIFS(工数ログ!$E$4:$E$1003,工数ログ!$C$4:$C$1003,$A31,工数ログ!$A$4:$A$1003,"&gt;="&amp;I$28,工数ログ!$A$4:$A$1003,"&lt;"&amp;EDATE(I$28,1)))</f>
        <v>0</v>
      </c>
      <c r="J31" s="56" t="n">
        <f aca="false">IF($A31="","",SUMIFS(工数ログ!$E$4:$E$1003,工数ログ!$C$4:$C$1003,$A31,工数ログ!$A$4:$A$1003,"&gt;="&amp;J$28,工数ログ!$A$4:$A$1003,"&lt;"&amp;EDATE(J$28,1)))</f>
        <v>0</v>
      </c>
      <c r="K31" s="56" t="n">
        <f aca="false">IF($A31="","",SUMIFS(工数ログ!$E$4:$E$1003,工数ログ!$C$4:$C$1003,$A31,工数ログ!$A$4:$A$1003,"&gt;="&amp;K$28,工数ログ!$A$4:$A$1003,"&lt;"&amp;EDATE(K$28,1)))</f>
        <v>0</v>
      </c>
      <c r="L31" s="56" t="n">
        <f aca="false">IF($A31="","",SUMIFS(工数ログ!$E$4:$E$1003,工数ログ!$C$4:$C$1003,$A31,工数ログ!$A$4:$A$1003,"&gt;="&amp;L$28,工数ログ!$A$4:$A$1003,"&lt;"&amp;EDATE(L$28,1)))</f>
        <v>0</v>
      </c>
      <c r="M31" s="56" t="n">
        <f aca="false">IF($A31="","",SUMIFS(工数ログ!$E$4:$E$1003,工数ログ!$C$4:$C$1003,$A31,工数ログ!$A$4:$A$1003,"&gt;="&amp;M$28,工数ログ!$A$4:$A$1003,"&lt;"&amp;EDATE(M$28,1)))</f>
        <v>0</v>
      </c>
      <c r="N31" s="56" t="n">
        <f aca="false">IF($A31="","",SUMIFS(工数ログ!$E$4:$E$1003,工数ログ!$C$4:$C$1003,$A31,工数ログ!$A$4:$A$1003,"&gt;="&amp;N$28,工数ログ!$A$4:$A$1003,"&lt;"&amp;EDATE(N$28,1)))</f>
        <v>0</v>
      </c>
      <c r="O31" s="2"/>
      <c r="P31" s="2"/>
    </row>
    <row r="32" customFormat="false" ht="15" hidden="false" customHeight="false" outlineLevel="0" collapsed="false">
      <c r="A32" s="52" t="str">
        <f aca="false">IF(案件マスタ!$B7="","",案件マスタ!$B7)</f>
        <v/>
      </c>
      <c r="B32" s="2"/>
      <c r="C32" s="56" t="str">
        <f aca="false">IF($A32="","",SUMIFS(工数ログ!$E$4:$E$1003,工数ログ!$C$4:$C$1003,$A32,工数ログ!$A$4:$A$1003,"&gt;="&amp;C$28,工数ログ!$A$4:$A$1003,"&lt;"&amp;EDATE(C$28,1)))</f>
        <v/>
      </c>
      <c r="D32" s="56" t="str">
        <f aca="false">IF($A32="","",SUMIFS(工数ログ!$E$4:$E$1003,工数ログ!$C$4:$C$1003,$A32,工数ログ!$A$4:$A$1003,"&gt;="&amp;D$28,工数ログ!$A$4:$A$1003,"&lt;"&amp;EDATE(D$28,1)))</f>
        <v/>
      </c>
      <c r="E32" s="56" t="str">
        <f aca="false">IF($A32="","",SUMIFS(工数ログ!$E$4:$E$1003,工数ログ!$C$4:$C$1003,$A32,工数ログ!$A$4:$A$1003,"&gt;="&amp;E$28,工数ログ!$A$4:$A$1003,"&lt;"&amp;EDATE(E$28,1)))</f>
        <v/>
      </c>
      <c r="F32" s="56" t="str">
        <f aca="false">IF($A32="","",SUMIFS(工数ログ!$E$4:$E$1003,工数ログ!$C$4:$C$1003,$A32,工数ログ!$A$4:$A$1003,"&gt;="&amp;F$28,工数ログ!$A$4:$A$1003,"&lt;"&amp;EDATE(F$28,1)))</f>
        <v/>
      </c>
      <c r="G32" s="56" t="str">
        <f aca="false">IF($A32="","",SUMIFS(工数ログ!$E$4:$E$1003,工数ログ!$C$4:$C$1003,$A32,工数ログ!$A$4:$A$1003,"&gt;="&amp;G$28,工数ログ!$A$4:$A$1003,"&lt;"&amp;EDATE(G$28,1)))</f>
        <v/>
      </c>
      <c r="H32" s="56" t="str">
        <f aca="false">IF($A32="","",SUMIFS(工数ログ!$E$4:$E$1003,工数ログ!$C$4:$C$1003,$A32,工数ログ!$A$4:$A$1003,"&gt;="&amp;H$28,工数ログ!$A$4:$A$1003,"&lt;"&amp;EDATE(H$28,1)))</f>
        <v/>
      </c>
      <c r="I32" s="56" t="str">
        <f aca="false">IF($A32="","",SUMIFS(工数ログ!$E$4:$E$1003,工数ログ!$C$4:$C$1003,$A32,工数ログ!$A$4:$A$1003,"&gt;="&amp;I$28,工数ログ!$A$4:$A$1003,"&lt;"&amp;EDATE(I$28,1)))</f>
        <v/>
      </c>
      <c r="J32" s="56" t="str">
        <f aca="false">IF($A32="","",SUMIFS(工数ログ!$E$4:$E$1003,工数ログ!$C$4:$C$1003,$A32,工数ログ!$A$4:$A$1003,"&gt;="&amp;J$28,工数ログ!$A$4:$A$1003,"&lt;"&amp;EDATE(J$28,1)))</f>
        <v/>
      </c>
      <c r="K32" s="56" t="str">
        <f aca="false">IF($A32="","",SUMIFS(工数ログ!$E$4:$E$1003,工数ログ!$C$4:$C$1003,$A32,工数ログ!$A$4:$A$1003,"&gt;="&amp;K$28,工数ログ!$A$4:$A$1003,"&lt;"&amp;EDATE(K$28,1)))</f>
        <v/>
      </c>
      <c r="L32" s="56" t="str">
        <f aca="false">IF($A32="","",SUMIFS(工数ログ!$E$4:$E$1003,工数ログ!$C$4:$C$1003,$A32,工数ログ!$A$4:$A$1003,"&gt;="&amp;L$28,工数ログ!$A$4:$A$1003,"&lt;"&amp;EDATE(L$28,1)))</f>
        <v/>
      </c>
      <c r="M32" s="56" t="str">
        <f aca="false">IF($A32="","",SUMIFS(工数ログ!$E$4:$E$1003,工数ログ!$C$4:$C$1003,$A32,工数ログ!$A$4:$A$1003,"&gt;="&amp;M$28,工数ログ!$A$4:$A$1003,"&lt;"&amp;EDATE(M$28,1)))</f>
        <v/>
      </c>
      <c r="N32" s="56" t="str">
        <f aca="false">IF($A32="","",SUMIFS(工数ログ!$E$4:$E$1003,工数ログ!$C$4:$C$1003,$A32,工数ログ!$A$4:$A$1003,"&gt;="&amp;N$28,工数ログ!$A$4:$A$1003,"&lt;"&amp;EDATE(N$28,1)))</f>
        <v/>
      </c>
      <c r="O32" s="2"/>
      <c r="P32" s="2"/>
    </row>
    <row r="33" customFormat="false" ht="15" hidden="false" customHeight="false" outlineLevel="0" collapsed="false">
      <c r="A33" s="52" t="str">
        <f aca="false">IF(案件マスタ!$B8="","",案件マスタ!$B8)</f>
        <v/>
      </c>
      <c r="B33" s="2"/>
      <c r="C33" s="56" t="str">
        <f aca="false">IF($A33="","",SUMIFS(工数ログ!$E$4:$E$1003,工数ログ!$C$4:$C$1003,$A33,工数ログ!$A$4:$A$1003,"&gt;="&amp;C$28,工数ログ!$A$4:$A$1003,"&lt;"&amp;EDATE(C$28,1)))</f>
        <v/>
      </c>
      <c r="D33" s="56" t="str">
        <f aca="false">IF($A33="","",SUMIFS(工数ログ!$E$4:$E$1003,工数ログ!$C$4:$C$1003,$A33,工数ログ!$A$4:$A$1003,"&gt;="&amp;D$28,工数ログ!$A$4:$A$1003,"&lt;"&amp;EDATE(D$28,1)))</f>
        <v/>
      </c>
      <c r="E33" s="56" t="str">
        <f aca="false">IF($A33="","",SUMIFS(工数ログ!$E$4:$E$1003,工数ログ!$C$4:$C$1003,$A33,工数ログ!$A$4:$A$1003,"&gt;="&amp;E$28,工数ログ!$A$4:$A$1003,"&lt;"&amp;EDATE(E$28,1)))</f>
        <v/>
      </c>
      <c r="F33" s="56" t="str">
        <f aca="false">IF($A33="","",SUMIFS(工数ログ!$E$4:$E$1003,工数ログ!$C$4:$C$1003,$A33,工数ログ!$A$4:$A$1003,"&gt;="&amp;F$28,工数ログ!$A$4:$A$1003,"&lt;"&amp;EDATE(F$28,1)))</f>
        <v/>
      </c>
      <c r="G33" s="56" t="str">
        <f aca="false">IF($A33="","",SUMIFS(工数ログ!$E$4:$E$1003,工数ログ!$C$4:$C$1003,$A33,工数ログ!$A$4:$A$1003,"&gt;="&amp;G$28,工数ログ!$A$4:$A$1003,"&lt;"&amp;EDATE(G$28,1)))</f>
        <v/>
      </c>
      <c r="H33" s="56" t="str">
        <f aca="false">IF($A33="","",SUMIFS(工数ログ!$E$4:$E$1003,工数ログ!$C$4:$C$1003,$A33,工数ログ!$A$4:$A$1003,"&gt;="&amp;H$28,工数ログ!$A$4:$A$1003,"&lt;"&amp;EDATE(H$28,1)))</f>
        <v/>
      </c>
      <c r="I33" s="56" t="str">
        <f aca="false">IF($A33="","",SUMIFS(工数ログ!$E$4:$E$1003,工数ログ!$C$4:$C$1003,$A33,工数ログ!$A$4:$A$1003,"&gt;="&amp;I$28,工数ログ!$A$4:$A$1003,"&lt;"&amp;EDATE(I$28,1)))</f>
        <v/>
      </c>
      <c r="J33" s="56" t="str">
        <f aca="false">IF($A33="","",SUMIFS(工数ログ!$E$4:$E$1003,工数ログ!$C$4:$C$1003,$A33,工数ログ!$A$4:$A$1003,"&gt;="&amp;J$28,工数ログ!$A$4:$A$1003,"&lt;"&amp;EDATE(J$28,1)))</f>
        <v/>
      </c>
      <c r="K33" s="56" t="str">
        <f aca="false">IF($A33="","",SUMIFS(工数ログ!$E$4:$E$1003,工数ログ!$C$4:$C$1003,$A33,工数ログ!$A$4:$A$1003,"&gt;="&amp;K$28,工数ログ!$A$4:$A$1003,"&lt;"&amp;EDATE(K$28,1)))</f>
        <v/>
      </c>
      <c r="L33" s="56" t="str">
        <f aca="false">IF($A33="","",SUMIFS(工数ログ!$E$4:$E$1003,工数ログ!$C$4:$C$1003,$A33,工数ログ!$A$4:$A$1003,"&gt;="&amp;L$28,工数ログ!$A$4:$A$1003,"&lt;"&amp;EDATE(L$28,1)))</f>
        <v/>
      </c>
      <c r="M33" s="56" t="str">
        <f aca="false">IF($A33="","",SUMIFS(工数ログ!$E$4:$E$1003,工数ログ!$C$4:$C$1003,$A33,工数ログ!$A$4:$A$1003,"&gt;="&amp;M$28,工数ログ!$A$4:$A$1003,"&lt;"&amp;EDATE(M$28,1)))</f>
        <v/>
      </c>
      <c r="N33" s="56" t="str">
        <f aca="false">IF($A33="","",SUMIFS(工数ログ!$E$4:$E$1003,工数ログ!$C$4:$C$1003,$A33,工数ログ!$A$4:$A$1003,"&gt;="&amp;N$28,工数ログ!$A$4:$A$1003,"&lt;"&amp;EDATE(N$28,1)))</f>
        <v/>
      </c>
      <c r="O33" s="2"/>
      <c r="P33" s="2"/>
    </row>
    <row r="34" customFormat="false" ht="15" hidden="false" customHeight="false" outlineLevel="0" collapsed="false">
      <c r="A34" s="52" t="str">
        <f aca="false">IF(案件マスタ!$B9="","",案件マスタ!$B9)</f>
        <v/>
      </c>
      <c r="B34" s="2"/>
      <c r="C34" s="56" t="str">
        <f aca="false">IF($A34="","",SUMIFS(工数ログ!$E$4:$E$1003,工数ログ!$C$4:$C$1003,$A34,工数ログ!$A$4:$A$1003,"&gt;="&amp;C$28,工数ログ!$A$4:$A$1003,"&lt;"&amp;EDATE(C$28,1)))</f>
        <v/>
      </c>
      <c r="D34" s="56" t="str">
        <f aca="false">IF($A34="","",SUMIFS(工数ログ!$E$4:$E$1003,工数ログ!$C$4:$C$1003,$A34,工数ログ!$A$4:$A$1003,"&gt;="&amp;D$28,工数ログ!$A$4:$A$1003,"&lt;"&amp;EDATE(D$28,1)))</f>
        <v/>
      </c>
      <c r="E34" s="56" t="str">
        <f aca="false">IF($A34="","",SUMIFS(工数ログ!$E$4:$E$1003,工数ログ!$C$4:$C$1003,$A34,工数ログ!$A$4:$A$1003,"&gt;="&amp;E$28,工数ログ!$A$4:$A$1003,"&lt;"&amp;EDATE(E$28,1)))</f>
        <v/>
      </c>
      <c r="F34" s="56" t="str">
        <f aca="false">IF($A34="","",SUMIFS(工数ログ!$E$4:$E$1003,工数ログ!$C$4:$C$1003,$A34,工数ログ!$A$4:$A$1003,"&gt;="&amp;F$28,工数ログ!$A$4:$A$1003,"&lt;"&amp;EDATE(F$28,1)))</f>
        <v/>
      </c>
      <c r="G34" s="56" t="str">
        <f aca="false">IF($A34="","",SUMIFS(工数ログ!$E$4:$E$1003,工数ログ!$C$4:$C$1003,$A34,工数ログ!$A$4:$A$1003,"&gt;="&amp;G$28,工数ログ!$A$4:$A$1003,"&lt;"&amp;EDATE(G$28,1)))</f>
        <v/>
      </c>
      <c r="H34" s="56" t="str">
        <f aca="false">IF($A34="","",SUMIFS(工数ログ!$E$4:$E$1003,工数ログ!$C$4:$C$1003,$A34,工数ログ!$A$4:$A$1003,"&gt;="&amp;H$28,工数ログ!$A$4:$A$1003,"&lt;"&amp;EDATE(H$28,1)))</f>
        <v/>
      </c>
      <c r="I34" s="56" t="str">
        <f aca="false">IF($A34="","",SUMIFS(工数ログ!$E$4:$E$1003,工数ログ!$C$4:$C$1003,$A34,工数ログ!$A$4:$A$1003,"&gt;="&amp;I$28,工数ログ!$A$4:$A$1003,"&lt;"&amp;EDATE(I$28,1)))</f>
        <v/>
      </c>
      <c r="J34" s="56" t="str">
        <f aca="false">IF($A34="","",SUMIFS(工数ログ!$E$4:$E$1003,工数ログ!$C$4:$C$1003,$A34,工数ログ!$A$4:$A$1003,"&gt;="&amp;J$28,工数ログ!$A$4:$A$1003,"&lt;"&amp;EDATE(J$28,1)))</f>
        <v/>
      </c>
      <c r="K34" s="56" t="str">
        <f aca="false">IF($A34="","",SUMIFS(工数ログ!$E$4:$E$1003,工数ログ!$C$4:$C$1003,$A34,工数ログ!$A$4:$A$1003,"&gt;="&amp;K$28,工数ログ!$A$4:$A$1003,"&lt;"&amp;EDATE(K$28,1)))</f>
        <v/>
      </c>
      <c r="L34" s="56" t="str">
        <f aca="false">IF($A34="","",SUMIFS(工数ログ!$E$4:$E$1003,工数ログ!$C$4:$C$1003,$A34,工数ログ!$A$4:$A$1003,"&gt;="&amp;L$28,工数ログ!$A$4:$A$1003,"&lt;"&amp;EDATE(L$28,1)))</f>
        <v/>
      </c>
      <c r="M34" s="56" t="str">
        <f aca="false">IF($A34="","",SUMIFS(工数ログ!$E$4:$E$1003,工数ログ!$C$4:$C$1003,$A34,工数ログ!$A$4:$A$1003,"&gt;="&amp;M$28,工数ログ!$A$4:$A$1003,"&lt;"&amp;EDATE(M$28,1)))</f>
        <v/>
      </c>
      <c r="N34" s="56" t="str">
        <f aca="false">IF($A34="","",SUMIFS(工数ログ!$E$4:$E$1003,工数ログ!$C$4:$C$1003,$A34,工数ログ!$A$4:$A$1003,"&gt;="&amp;N$28,工数ログ!$A$4:$A$1003,"&lt;"&amp;EDATE(N$28,1)))</f>
        <v/>
      </c>
      <c r="O34" s="2"/>
      <c r="P34" s="2"/>
    </row>
    <row r="35" customFormat="false" ht="15" hidden="false" customHeight="false" outlineLevel="0" collapsed="false">
      <c r="A35" s="52" t="str">
        <f aca="false">IF(案件マスタ!$B10="","",案件マスタ!$B10)</f>
        <v/>
      </c>
      <c r="B35" s="2"/>
      <c r="C35" s="56" t="str">
        <f aca="false">IF($A35="","",SUMIFS(工数ログ!$E$4:$E$1003,工数ログ!$C$4:$C$1003,$A35,工数ログ!$A$4:$A$1003,"&gt;="&amp;C$28,工数ログ!$A$4:$A$1003,"&lt;"&amp;EDATE(C$28,1)))</f>
        <v/>
      </c>
      <c r="D35" s="56" t="str">
        <f aca="false">IF($A35="","",SUMIFS(工数ログ!$E$4:$E$1003,工数ログ!$C$4:$C$1003,$A35,工数ログ!$A$4:$A$1003,"&gt;="&amp;D$28,工数ログ!$A$4:$A$1003,"&lt;"&amp;EDATE(D$28,1)))</f>
        <v/>
      </c>
      <c r="E35" s="56" t="str">
        <f aca="false">IF($A35="","",SUMIFS(工数ログ!$E$4:$E$1003,工数ログ!$C$4:$C$1003,$A35,工数ログ!$A$4:$A$1003,"&gt;="&amp;E$28,工数ログ!$A$4:$A$1003,"&lt;"&amp;EDATE(E$28,1)))</f>
        <v/>
      </c>
      <c r="F35" s="56" t="str">
        <f aca="false">IF($A35="","",SUMIFS(工数ログ!$E$4:$E$1003,工数ログ!$C$4:$C$1003,$A35,工数ログ!$A$4:$A$1003,"&gt;="&amp;F$28,工数ログ!$A$4:$A$1003,"&lt;"&amp;EDATE(F$28,1)))</f>
        <v/>
      </c>
      <c r="G35" s="56" t="str">
        <f aca="false">IF($A35="","",SUMIFS(工数ログ!$E$4:$E$1003,工数ログ!$C$4:$C$1003,$A35,工数ログ!$A$4:$A$1003,"&gt;="&amp;G$28,工数ログ!$A$4:$A$1003,"&lt;"&amp;EDATE(G$28,1)))</f>
        <v/>
      </c>
      <c r="H35" s="56" t="str">
        <f aca="false">IF($A35="","",SUMIFS(工数ログ!$E$4:$E$1003,工数ログ!$C$4:$C$1003,$A35,工数ログ!$A$4:$A$1003,"&gt;="&amp;H$28,工数ログ!$A$4:$A$1003,"&lt;"&amp;EDATE(H$28,1)))</f>
        <v/>
      </c>
      <c r="I35" s="56" t="str">
        <f aca="false">IF($A35="","",SUMIFS(工数ログ!$E$4:$E$1003,工数ログ!$C$4:$C$1003,$A35,工数ログ!$A$4:$A$1003,"&gt;="&amp;I$28,工数ログ!$A$4:$A$1003,"&lt;"&amp;EDATE(I$28,1)))</f>
        <v/>
      </c>
      <c r="J35" s="56" t="str">
        <f aca="false">IF($A35="","",SUMIFS(工数ログ!$E$4:$E$1003,工数ログ!$C$4:$C$1003,$A35,工数ログ!$A$4:$A$1003,"&gt;="&amp;J$28,工数ログ!$A$4:$A$1003,"&lt;"&amp;EDATE(J$28,1)))</f>
        <v/>
      </c>
      <c r="K35" s="56" t="str">
        <f aca="false">IF($A35="","",SUMIFS(工数ログ!$E$4:$E$1003,工数ログ!$C$4:$C$1003,$A35,工数ログ!$A$4:$A$1003,"&gt;="&amp;K$28,工数ログ!$A$4:$A$1003,"&lt;"&amp;EDATE(K$28,1)))</f>
        <v/>
      </c>
      <c r="L35" s="56" t="str">
        <f aca="false">IF($A35="","",SUMIFS(工数ログ!$E$4:$E$1003,工数ログ!$C$4:$C$1003,$A35,工数ログ!$A$4:$A$1003,"&gt;="&amp;L$28,工数ログ!$A$4:$A$1003,"&lt;"&amp;EDATE(L$28,1)))</f>
        <v/>
      </c>
      <c r="M35" s="56" t="str">
        <f aca="false">IF($A35="","",SUMIFS(工数ログ!$E$4:$E$1003,工数ログ!$C$4:$C$1003,$A35,工数ログ!$A$4:$A$1003,"&gt;="&amp;M$28,工数ログ!$A$4:$A$1003,"&lt;"&amp;EDATE(M$28,1)))</f>
        <v/>
      </c>
      <c r="N35" s="56" t="str">
        <f aca="false">IF($A35="","",SUMIFS(工数ログ!$E$4:$E$1003,工数ログ!$C$4:$C$1003,$A35,工数ログ!$A$4:$A$1003,"&gt;="&amp;N$28,工数ログ!$A$4:$A$1003,"&lt;"&amp;EDATE(N$28,1)))</f>
        <v/>
      </c>
      <c r="O35" s="2"/>
      <c r="P35" s="2"/>
    </row>
    <row r="36" customFormat="false" ht="15" hidden="false" customHeight="false" outlineLevel="0" collapsed="false">
      <c r="A36" s="52" t="str">
        <f aca="false">IF(案件マスタ!$B11="","",案件マスタ!$B11)</f>
        <v/>
      </c>
      <c r="B36" s="2"/>
      <c r="C36" s="56" t="str">
        <f aca="false">IF($A36="","",SUMIFS(工数ログ!$E$4:$E$1003,工数ログ!$C$4:$C$1003,$A36,工数ログ!$A$4:$A$1003,"&gt;="&amp;C$28,工数ログ!$A$4:$A$1003,"&lt;"&amp;EDATE(C$28,1)))</f>
        <v/>
      </c>
      <c r="D36" s="56" t="str">
        <f aca="false">IF($A36="","",SUMIFS(工数ログ!$E$4:$E$1003,工数ログ!$C$4:$C$1003,$A36,工数ログ!$A$4:$A$1003,"&gt;="&amp;D$28,工数ログ!$A$4:$A$1003,"&lt;"&amp;EDATE(D$28,1)))</f>
        <v/>
      </c>
      <c r="E36" s="56" t="str">
        <f aca="false">IF($A36="","",SUMIFS(工数ログ!$E$4:$E$1003,工数ログ!$C$4:$C$1003,$A36,工数ログ!$A$4:$A$1003,"&gt;="&amp;E$28,工数ログ!$A$4:$A$1003,"&lt;"&amp;EDATE(E$28,1)))</f>
        <v/>
      </c>
      <c r="F36" s="56" t="str">
        <f aca="false">IF($A36="","",SUMIFS(工数ログ!$E$4:$E$1003,工数ログ!$C$4:$C$1003,$A36,工数ログ!$A$4:$A$1003,"&gt;="&amp;F$28,工数ログ!$A$4:$A$1003,"&lt;"&amp;EDATE(F$28,1)))</f>
        <v/>
      </c>
      <c r="G36" s="56" t="str">
        <f aca="false">IF($A36="","",SUMIFS(工数ログ!$E$4:$E$1003,工数ログ!$C$4:$C$1003,$A36,工数ログ!$A$4:$A$1003,"&gt;="&amp;G$28,工数ログ!$A$4:$A$1003,"&lt;"&amp;EDATE(G$28,1)))</f>
        <v/>
      </c>
      <c r="H36" s="56" t="str">
        <f aca="false">IF($A36="","",SUMIFS(工数ログ!$E$4:$E$1003,工数ログ!$C$4:$C$1003,$A36,工数ログ!$A$4:$A$1003,"&gt;="&amp;H$28,工数ログ!$A$4:$A$1003,"&lt;"&amp;EDATE(H$28,1)))</f>
        <v/>
      </c>
      <c r="I36" s="56" t="str">
        <f aca="false">IF($A36="","",SUMIFS(工数ログ!$E$4:$E$1003,工数ログ!$C$4:$C$1003,$A36,工数ログ!$A$4:$A$1003,"&gt;="&amp;I$28,工数ログ!$A$4:$A$1003,"&lt;"&amp;EDATE(I$28,1)))</f>
        <v/>
      </c>
      <c r="J36" s="56" t="str">
        <f aca="false">IF($A36="","",SUMIFS(工数ログ!$E$4:$E$1003,工数ログ!$C$4:$C$1003,$A36,工数ログ!$A$4:$A$1003,"&gt;="&amp;J$28,工数ログ!$A$4:$A$1003,"&lt;"&amp;EDATE(J$28,1)))</f>
        <v/>
      </c>
      <c r="K36" s="56" t="str">
        <f aca="false">IF($A36="","",SUMIFS(工数ログ!$E$4:$E$1003,工数ログ!$C$4:$C$1003,$A36,工数ログ!$A$4:$A$1003,"&gt;="&amp;K$28,工数ログ!$A$4:$A$1003,"&lt;"&amp;EDATE(K$28,1)))</f>
        <v/>
      </c>
      <c r="L36" s="56" t="str">
        <f aca="false">IF($A36="","",SUMIFS(工数ログ!$E$4:$E$1003,工数ログ!$C$4:$C$1003,$A36,工数ログ!$A$4:$A$1003,"&gt;="&amp;L$28,工数ログ!$A$4:$A$1003,"&lt;"&amp;EDATE(L$28,1)))</f>
        <v/>
      </c>
      <c r="M36" s="56" t="str">
        <f aca="false">IF($A36="","",SUMIFS(工数ログ!$E$4:$E$1003,工数ログ!$C$4:$C$1003,$A36,工数ログ!$A$4:$A$1003,"&gt;="&amp;M$28,工数ログ!$A$4:$A$1003,"&lt;"&amp;EDATE(M$28,1)))</f>
        <v/>
      </c>
      <c r="N36" s="56" t="str">
        <f aca="false">IF($A36="","",SUMIFS(工数ログ!$E$4:$E$1003,工数ログ!$C$4:$C$1003,$A36,工数ログ!$A$4:$A$1003,"&gt;="&amp;N$28,工数ログ!$A$4:$A$1003,"&lt;"&amp;EDATE(N$28,1)))</f>
        <v/>
      </c>
      <c r="O36" s="2"/>
      <c r="P36" s="2"/>
    </row>
    <row r="37" customFormat="false" ht="15" hidden="false" customHeight="false" outlineLevel="0" collapsed="false">
      <c r="A37" s="52" t="str">
        <f aca="false">IF(案件マスタ!$B12="","",案件マスタ!$B12)</f>
        <v/>
      </c>
      <c r="B37" s="2"/>
      <c r="C37" s="56" t="str">
        <f aca="false">IF($A37="","",SUMIFS(工数ログ!$E$4:$E$1003,工数ログ!$C$4:$C$1003,$A37,工数ログ!$A$4:$A$1003,"&gt;="&amp;C$28,工数ログ!$A$4:$A$1003,"&lt;"&amp;EDATE(C$28,1)))</f>
        <v/>
      </c>
      <c r="D37" s="56" t="str">
        <f aca="false">IF($A37="","",SUMIFS(工数ログ!$E$4:$E$1003,工数ログ!$C$4:$C$1003,$A37,工数ログ!$A$4:$A$1003,"&gt;="&amp;D$28,工数ログ!$A$4:$A$1003,"&lt;"&amp;EDATE(D$28,1)))</f>
        <v/>
      </c>
      <c r="E37" s="56" t="str">
        <f aca="false">IF($A37="","",SUMIFS(工数ログ!$E$4:$E$1003,工数ログ!$C$4:$C$1003,$A37,工数ログ!$A$4:$A$1003,"&gt;="&amp;E$28,工数ログ!$A$4:$A$1003,"&lt;"&amp;EDATE(E$28,1)))</f>
        <v/>
      </c>
      <c r="F37" s="56" t="str">
        <f aca="false">IF($A37="","",SUMIFS(工数ログ!$E$4:$E$1003,工数ログ!$C$4:$C$1003,$A37,工数ログ!$A$4:$A$1003,"&gt;="&amp;F$28,工数ログ!$A$4:$A$1003,"&lt;"&amp;EDATE(F$28,1)))</f>
        <v/>
      </c>
      <c r="G37" s="56" t="str">
        <f aca="false">IF($A37="","",SUMIFS(工数ログ!$E$4:$E$1003,工数ログ!$C$4:$C$1003,$A37,工数ログ!$A$4:$A$1003,"&gt;="&amp;G$28,工数ログ!$A$4:$A$1003,"&lt;"&amp;EDATE(G$28,1)))</f>
        <v/>
      </c>
      <c r="H37" s="56" t="str">
        <f aca="false">IF($A37="","",SUMIFS(工数ログ!$E$4:$E$1003,工数ログ!$C$4:$C$1003,$A37,工数ログ!$A$4:$A$1003,"&gt;="&amp;H$28,工数ログ!$A$4:$A$1003,"&lt;"&amp;EDATE(H$28,1)))</f>
        <v/>
      </c>
      <c r="I37" s="56" t="str">
        <f aca="false">IF($A37="","",SUMIFS(工数ログ!$E$4:$E$1003,工数ログ!$C$4:$C$1003,$A37,工数ログ!$A$4:$A$1003,"&gt;="&amp;I$28,工数ログ!$A$4:$A$1003,"&lt;"&amp;EDATE(I$28,1)))</f>
        <v/>
      </c>
      <c r="J37" s="56" t="str">
        <f aca="false">IF($A37="","",SUMIFS(工数ログ!$E$4:$E$1003,工数ログ!$C$4:$C$1003,$A37,工数ログ!$A$4:$A$1003,"&gt;="&amp;J$28,工数ログ!$A$4:$A$1003,"&lt;"&amp;EDATE(J$28,1)))</f>
        <v/>
      </c>
      <c r="K37" s="56" t="str">
        <f aca="false">IF($A37="","",SUMIFS(工数ログ!$E$4:$E$1003,工数ログ!$C$4:$C$1003,$A37,工数ログ!$A$4:$A$1003,"&gt;="&amp;K$28,工数ログ!$A$4:$A$1003,"&lt;"&amp;EDATE(K$28,1)))</f>
        <v/>
      </c>
      <c r="L37" s="56" t="str">
        <f aca="false">IF($A37="","",SUMIFS(工数ログ!$E$4:$E$1003,工数ログ!$C$4:$C$1003,$A37,工数ログ!$A$4:$A$1003,"&gt;="&amp;L$28,工数ログ!$A$4:$A$1003,"&lt;"&amp;EDATE(L$28,1)))</f>
        <v/>
      </c>
      <c r="M37" s="56" t="str">
        <f aca="false">IF($A37="","",SUMIFS(工数ログ!$E$4:$E$1003,工数ログ!$C$4:$C$1003,$A37,工数ログ!$A$4:$A$1003,"&gt;="&amp;M$28,工数ログ!$A$4:$A$1003,"&lt;"&amp;EDATE(M$28,1)))</f>
        <v/>
      </c>
      <c r="N37" s="56" t="str">
        <f aca="false">IF($A37="","",SUMIFS(工数ログ!$E$4:$E$1003,工数ログ!$C$4:$C$1003,$A37,工数ログ!$A$4:$A$1003,"&gt;="&amp;N$28,工数ログ!$A$4:$A$1003,"&lt;"&amp;EDATE(N$28,1)))</f>
        <v/>
      </c>
      <c r="O37" s="2"/>
      <c r="P37" s="2"/>
    </row>
    <row r="38" customFormat="false" ht="15" hidden="false" customHeight="false" outlineLevel="0" collapsed="false">
      <c r="A38" s="52" t="str">
        <f aca="false">IF(案件マスタ!$B13="","",案件マスタ!$B13)</f>
        <v/>
      </c>
      <c r="B38" s="2"/>
      <c r="C38" s="56" t="str">
        <f aca="false">IF($A38="","",SUMIFS(工数ログ!$E$4:$E$1003,工数ログ!$C$4:$C$1003,$A38,工数ログ!$A$4:$A$1003,"&gt;="&amp;C$28,工数ログ!$A$4:$A$1003,"&lt;"&amp;EDATE(C$28,1)))</f>
        <v/>
      </c>
      <c r="D38" s="56" t="str">
        <f aca="false">IF($A38="","",SUMIFS(工数ログ!$E$4:$E$1003,工数ログ!$C$4:$C$1003,$A38,工数ログ!$A$4:$A$1003,"&gt;="&amp;D$28,工数ログ!$A$4:$A$1003,"&lt;"&amp;EDATE(D$28,1)))</f>
        <v/>
      </c>
      <c r="E38" s="56" t="str">
        <f aca="false">IF($A38="","",SUMIFS(工数ログ!$E$4:$E$1003,工数ログ!$C$4:$C$1003,$A38,工数ログ!$A$4:$A$1003,"&gt;="&amp;E$28,工数ログ!$A$4:$A$1003,"&lt;"&amp;EDATE(E$28,1)))</f>
        <v/>
      </c>
      <c r="F38" s="56" t="str">
        <f aca="false">IF($A38="","",SUMIFS(工数ログ!$E$4:$E$1003,工数ログ!$C$4:$C$1003,$A38,工数ログ!$A$4:$A$1003,"&gt;="&amp;F$28,工数ログ!$A$4:$A$1003,"&lt;"&amp;EDATE(F$28,1)))</f>
        <v/>
      </c>
      <c r="G38" s="56" t="str">
        <f aca="false">IF($A38="","",SUMIFS(工数ログ!$E$4:$E$1003,工数ログ!$C$4:$C$1003,$A38,工数ログ!$A$4:$A$1003,"&gt;="&amp;G$28,工数ログ!$A$4:$A$1003,"&lt;"&amp;EDATE(G$28,1)))</f>
        <v/>
      </c>
      <c r="H38" s="56" t="str">
        <f aca="false">IF($A38="","",SUMIFS(工数ログ!$E$4:$E$1003,工数ログ!$C$4:$C$1003,$A38,工数ログ!$A$4:$A$1003,"&gt;="&amp;H$28,工数ログ!$A$4:$A$1003,"&lt;"&amp;EDATE(H$28,1)))</f>
        <v/>
      </c>
      <c r="I38" s="56" t="str">
        <f aca="false">IF($A38="","",SUMIFS(工数ログ!$E$4:$E$1003,工数ログ!$C$4:$C$1003,$A38,工数ログ!$A$4:$A$1003,"&gt;="&amp;I$28,工数ログ!$A$4:$A$1003,"&lt;"&amp;EDATE(I$28,1)))</f>
        <v/>
      </c>
      <c r="J38" s="56" t="str">
        <f aca="false">IF($A38="","",SUMIFS(工数ログ!$E$4:$E$1003,工数ログ!$C$4:$C$1003,$A38,工数ログ!$A$4:$A$1003,"&gt;="&amp;J$28,工数ログ!$A$4:$A$1003,"&lt;"&amp;EDATE(J$28,1)))</f>
        <v/>
      </c>
      <c r="K38" s="56" t="str">
        <f aca="false">IF($A38="","",SUMIFS(工数ログ!$E$4:$E$1003,工数ログ!$C$4:$C$1003,$A38,工数ログ!$A$4:$A$1003,"&gt;="&amp;K$28,工数ログ!$A$4:$A$1003,"&lt;"&amp;EDATE(K$28,1)))</f>
        <v/>
      </c>
      <c r="L38" s="56" t="str">
        <f aca="false">IF($A38="","",SUMIFS(工数ログ!$E$4:$E$1003,工数ログ!$C$4:$C$1003,$A38,工数ログ!$A$4:$A$1003,"&gt;="&amp;L$28,工数ログ!$A$4:$A$1003,"&lt;"&amp;EDATE(L$28,1)))</f>
        <v/>
      </c>
      <c r="M38" s="56" t="str">
        <f aca="false">IF($A38="","",SUMIFS(工数ログ!$E$4:$E$1003,工数ログ!$C$4:$C$1003,$A38,工数ログ!$A$4:$A$1003,"&gt;="&amp;M$28,工数ログ!$A$4:$A$1003,"&lt;"&amp;EDATE(M$28,1)))</f>
        <v/>
      </c>
      <c r="N38" s="56" t="str">
        <f aca="false">IF($A38="","",SUMIFS(工数ログ!$E$4:$E$1003,工数ログ!$C$4:$C$1003,$A38,工数ログ!$A$4:$A$1003,"&gt;="&amp;N$28,工数ログ!$A$4:$A$1003,"&lt;"&amp;EDATE(N$28,1)))</f>
        <v/>
      </c>
      <c r="O38" s="2"/>
      <c r="P38" s="2"/>
    </row>
    <row r="39" customFormat="false" ht="15" hidden="false" customHeight="false" outlineLevel="0" collapsed="false">
      <c r="A39" s="52" t="str">
        <f aca="false">IF(案件マスタ!$B14="","",案件マスタ!$B14)</f>
        <v/>
      </c>
      <c r="B39" s="2"/>
      <c r="C39" s="56" t="str">
        <f aca="false">IF($A39="","",SUMIFS(工数ログ!$E$4:$E$1003,工数ログ!$C$4:$C$1003,$A39,工数ログ!$A$4:$A$1003,"&gt;="&amp;C$28,工数ログ!$A$4:$A$1003,"&lt;"&amp;EDATE(C$28,1)))</f>
        <v/>
      </c>
      <c r="D39" s="56" t="str">
        <f aca="false">IF($A39="","",SUMIFS(工数ログ!$E$4:$E$1003,工数ログ!$C$4:$C$1003,$A39,工数ログ!$A$4:$A$1003,"&gt;="&amp;D$28,工数ログ!$A$4:$A$1003,"&lt;"&amp;EDATE(D$28,1)))</f>
        <v/>
      </c>
      <c r="E39" s="56" t="str">
        <f aca="false">IF($A39="","",SUMIFS(工数ログ!$E$4:$E$1003,工数ログ!$C$4:$C$1003,$A39,工数ログ!$A$4:$A$1003,"&gt;="&amp;E$28,工数ログ!$A$4:$A$1003,"&lt;"&amp;EDATE(E$28,1)))</f>
        <v/>
      </c>
      <c r="F39" s="56" t="str">
        <f aca="false">IF($A39="","",SUMIFS(工数ログ!$E$4:$E$1003,工数ログ!$C$4:$C$1003,$A39,工数ログ!$A$4:$A$1003,"&gt;="&amp;F$28,工数ログ!$A$4:$A$1003,"&lt;"&amp;EDATE(F$28,1)))</f>
        <v/>
      </c>
      <c r="G39" s="56" t="str">
        <f aca="false">IF($A39="","",SUMIFS(工数ログ!$E$4:$E$1003,工数ログ!$C$4:$C$1003,$A39,工数ログ!$A$4:$A$1003,"&gt;="&amp;G$28,工数ログ!$A$4:$A$1003,"&lt;"&amp;EDATE(G$28,1)))</f>
        <v/>
      </c>
      <c r="H39" s="56" t="str">
        <f aca="false">IF($A39="","",SUMIFS(工数ログ!$E$4:$E$1003,工数ログ!$C$4:$C$1003,$A39,工数ログ!$A$4:$A$1003,"&gt;="&amp;H$28,工数ログ!$A$4:$A$1003,"&lt;"&amp;EDATE(H$28,1)))</f>
        <v/>
      </c>
      <c r="I39" s="56" t="str">
        <f aca="false">IF($A39="","",SUMIFS(工数ログ!$E$4:$E$1003,工数ログ!$C$4:$C$1003,$A39,工数ログ!$A$4:$A$1003,"&gt;="&amp;I$28,工数ログ!$A$4:$A$1003,"&lt;"&amp;EDATE(I$28,1)))</f>
        <v/>
      </c>
      <c r="J39" s="56" t="str">
        <f aca="false">IF($A39="","",SUMIFS(工数ログ!$E$4:$E$1003,工数ログ!$C$4:$C$1003,$A39,工数ログ!$A$4:$A$1003,"&gt;="&amp;J$28,工数ログ!$A$4:$A$1003,"&lt;"&amp;EDATE(J$28,1)))</f>
        <v/>
      </c>
      <c r="K39" s="56" t="str">
        <f aca="false">IF($A39="","",SUMIFS(工数ログ!$E$4:$E$1003,工数ログ!$C$4:$C$1003,$A39,工数ログ!$A$4:$A$1003,"&gt;="&amp;K$28,工数ログ!$A$4:$A$1003,"&lt;"&amp;EDATE(K$28,1)))</f>
        <v/>
      </c>
      <c r="L39" s="56" t="str">
        <f aca="false">IF($A39="","",SUMIFS(工数ログ!$E$4:$E$1003,工数ログ!$C$4:$C$1003,$A39,工数ログ!$A$4:$A$1003,"&gt;="&amp;L$28,工数ログ!$A$4:$A$1003,"&lt;"&amp;EDATE(L$28,1)))</f>
        <v/>
      </c>
      <c r="M39" s="56" t="str">
        <f aca="false">IF($A39="","",SUMIFS(工数ログ!$E$4:$E$1003,工数ログ!$C$4:$C$1003,$A39,工数ログ!$A$4:$A$1003,"&gt;="&amp;M$28,工数ログ!$A$4:$A$1003,"&lt;"&amp;EDATE(M$28,1)))</f>
        <v/>
      </c>
      <c r="N39" s="56" t="str">
        <f aca="false">IF($A39="","",SUMIFS(工数ログ!$E$4:$E$1003,工数ログ!$C$4:$C$1003,$A39,工数ログ!$A$4:$A$1003,"&gt;="&amp;N$28,工数ログ!$A$4:$A$1003,"&lt;"&amp;EDATE(N$28,1)))</f>
        <v/>
      </c>
      <c r="O39" s="2"/>
      <c r="P39" s="2"/>
    </row>
    <row r="40" customFormat="false" ht="15" hidden="false" customHeight="false" outlineLevel="0" collapsed="false">
      <c r="A40" s="52" t="str">
        <f aca="false">IF(案件マスタ!$B15="","",案件マスタ!$B15)</f>
        <v/>
      </c>
      <c r="B40" s="2"/>
      <c r="C40" s="56" t="str">
        <f aca="false">IF($A40="","",SUMIFS(工数ログ!$E$4:$E$1003,工数ログ!$C$4:$C$1003,$A40,工数ログ!$A$4:$A$1003,"&gt;="&amp;C$28,工数ログ!$A$4:$A$1003,"&lt;"&amp;EDATE(C$28,1)))</f>
        <v/>
      </c>
      <c r="D40" s="56" t="str">
        <f aca="false">IF($A40="","",SUMIFS(工数ログ!$E$4:$E$1003,工数ログ!$C$4:$C$1003,$A40,工数ログ!$A$4:$A$1003,"&gt;="&amp;D$28,工数ログ!$A$4:$A$1003,"&lt;"&amp;EDATE(D$28,1)))</f>
        <v/>
      </c>
      <c r="E40" s="56" t="str">
        <f aca="false">IF($A40="","",SUMIFS(工数ログ!$E$4:$E$1003,工数ログ!$C$4:$C$1003,$A40,工数ログ!$A$4:$A$1003,"&gt;="&amp;E$28,工数ログ!$A$4:$A$1003,"&lt;"&amp;EDATE(E$28,1)))</f>
        <v/>
      </c>
      <c r="F40" s="56" t="str">
        <f aca="false">IF($A40="","",SUMIFS(工数ログ!$E$4:$E$1003,工数ログ!$C$4:$C$1003,$A40,工数ログ!$A$4:$A$1003,"&gt;="&amp;F$28,工数ログ!$A$4:$A$1003,"&lt;"&amp;EDATE(F$28,1)))</f>
        <v/>
      </c>
      <c r="G40" s="56" t="str">
        <f aca="false">IF($A40="","",SUMIFS(工数ログ!$E$4:$E$1003,工数ログ!$C$4:$C$1003,$A40,工数ログ!$A$4:$A$1003,"&gt;="&amp;G$28,工数ログ!$A$4:$A$1003,"&lt;"&amp;EDATE(G$28,1)))</f>
        <v/>
      </c>
      <c r="H40" s="56" t="str">
        <f aca="false">IF($A40="","",SUMIFS(工数ログ!$E$4:$E$1003,工数ログ!$C$4:$C$1003,$A40,工数ログ!$A$4:$A$1003,"&gt;="&amp;H$28,工数ログ!$A$4:$A$1003,"&lt;"&amp;EDATE(H$28,1)))</f>
        <v/>
      </c>
      <c r="I40" s="56" t="str">
        <f aca="false">IF($A40="","",SUMIFS(工数ログ!$E$4:$E$1003,工数ログ!$C$4:$C$1003,$A40,工数ログ!$A$4:$A$1003,"&gt;="&amp;I$28,工数ログ!$A$4:$A$1003,"&lt;"&amp;EDATE(I$28,1)))</f>
        <v/>
      </c>
      <c r="J40" s="56" t="str">
        <f aca="false">IF($A40="","",SUMIFS(工数ログ!$E$4:$E$1003,工数ログ!$C$4:$C$1003,$A40,工数ログ!$A$4:$A$1003,"&gt;="&amp;J$28,工数ログ!$A$4:$A$1003,"&lt;"&amp;EDATE(J$28,1)))</f>
        <v/>
      </c>
      <c r="K40" s="56" t="str">
        <f aca="false">IF($A40="","",SUMIFS(工数ログ!$E$4:$E$1003,工数ログ!$C$4:$C$1003,$A40,工数ログ!$A$4:$A$1003,"&gt;="&amp;K$28,工数ログ!$A$4:$A$1003,"&lt;"&amp;EDATE(K$28,1)))</f>
        <v/>
      </c>
      <c r="L40" s="56" t="str">
        <f aca="false">IF($A40="","",SUMIFS(工数ログ!$E$4:$E$1003,工数ログ!$C$4:$C$1003,$A40,工数ログ!$A$4:$A$1003,"&gt;="&amp;L$28,工数ログ!$A$4:$A$1003,"&lt;"&amp;EDATE(L$28,1)))</f>
        <v/>
      </c>
      <c r="M40" s="56" t="str">
        <f aca="false">IF($A40="","",SUMIFS(工数ログ!$E$4:$E$1003,工数ログ!$C$4:$C$1003,$A40,工数ログ!$A$4:$A$1003,"&gt;="&amp;M$28,工数ログ!$A$4:$A$1003,"&lt;"&amp;EDATE(M$28,1)))</f>
        <v/>
      </c>
      <c r="N40" s="56" t="str">
        <f aca="false">IF($A40="","",SUMIFS(工数ログ!$E$4:$E$1003,工数ログ!$C$4:$C$1003,$A40,工数ログ!$A$4:$A$1003,"&gt;="&amp;N$28,工数ログ!$A$4:$A$1003,"&lt;"&amp;EDATE(N$28,1)))</f>
        <v/>
      </c>
      <c r="O40" s="2"/>
      <c r="P40" s="2"/>
    </row>
    <row r="41" customFormat="false" ht="15" hidden="false" customHeight="false" outlineLevel="0" collapsed="false">
      <c r="A41" s="52" t="str">
        <f aca="false">IF(案件マスタ!$B16="","",案件マスタ!$B16)</f>
        <v/>
      </c>
      <c r="B41" s="2"/>
      <c r="C41" s="56" t="str">
        <f aca="false">IF($A41="","",SUMIFS(工数ログ!$E$4:$E$1003,工数ログ!$C$4:$C$1003,$A41,工数ログ!$A$4:$A$1003,"&gt;="&amp;C$28,工数ログ!$A$4:$A$1003,"&lt;"&amp;EDATE(C$28,1)))</f>
        <v/>
      </c>
      <c r="D41" s="56" t="str">
        <f aca="false">IF($A41="","",SUMIFS(工数ログ!$E$4:$E$1003,工数ログ!$C$4:$C$1003,$A41,工数ログ!$A$4:$A$1003,"&gt;="&amp;D$28,工数ログ!$A$4:$A$1003,"&lt;"&amp;EDATE(D$28,1)))</f>
        <v/>
      </c>
      <c r="E41" s="56" t="str">
        <f aca="false">IF($A41="","",SUMIFS(工数ログ!$E$4:$E$1003,工数ログ!$C$4:$C$1003,$A41,工数ログ!$A$4:$A$1003,"&gt;="&amp;E$28,工数ログ!$A$4:$A$1003,"&lt;"&amp;EDATE(E$28,1)))</f>
        <v/>
      </c>
      <c r="F41" s="56" t="str">
        <f aca="false">IF($A41="","",SUMIFS(工数ログ!$E$4:$E$1003,工数ログ!$C$4:$C$1003,$A41,工数ログ!$A$4:$A$1003,"&gt;="&amp;F$28,工数ログ!$A$4:$A$1003,"&lt;"&amp;EDATE(F$28,1)))</f>
        <v/>
      </c>
      <c r="G41" s="56" t="str">
        <f aca="false">IF($A41="","",SUMIFS(工数ログ!$E$4:$E$1003,工数ログ!$C$4:$C$1003,$A41,工数ログ!$A$4:$A$1003,"&gt;="&amp;G$28,工数ログ!$A$4:$A$1003,"&lt;"&amp;EDATE(G$28,1)))</f>
        <v/>
      </c>
      <c r="H41" s="56" t="str">
        <f aca="false">IF($A41="","",SUMIFS(工数ログ!$E$4:$E$1003,工数ログ!$C$4:$C$1003,$A41,工数ログ!$A$4:$A$1003,"&gt;="&amp;H$28,工数ログ!$A$4:$A$1003,"&lt;"&amp;EDATE(H$28,1)))</f>
        <v/>
      </c>
      <c r="I41" s="56" t="str">
        <f aca="false">IF($A41="","",SUMIFS(工数ログ!$E$4:$E$1003,工数ログ!$C$4:$C$1003,$A41,工数ログ!$A$4:$A$1003,"&gt;="&amp;I$28,工数ログ!$A$4:$A$1003,"&lt;"&amp;EDATE(I$28,1)))</f>
        <v/>
      </c>
      <c r="J41" s="56" t="str">
        <f aca="false">IF($A41="","",SUMIFS(工数ログ!$E$4:$E$1003,工数ログ!$C$4:$C$1003,$A41,工数ログ!$A$4:$A$1003,"&gt;="&amp;J$28,工数ログ!$A$4:$A$1003,"&lt;"&amp;EDATE(J$28,1)))</f>
        <v/>
      </c>
      <c r="K41" s="56" t="str">
        <f aca="false">IF($A41="","",SUMIFS(工数ログ!$E$4:$E$1003,工数ログ!$C$4:$C$1003,$A41,工数ログ!$A$4:$A$1003,"&gt;="&amp;K$28,工数ログ!$A$4:$A$1003,"&lt;"&amp;EDATE(K$28,1)))</f>
        <v/>
      </c>
      <c r="L41" s="56" t="str">
        <f aca="false">IF($A41="","",SUMIFS(工数ログ!$E$4:$E$1003,工数ログ!$C$4:$C$1003,$A41,工数ログ!$A$4:$A$1003,"&gt;="&amp;L$28,工数ログ!$A$4:$A$1003,"&lt;"&amp;EDATE(L$28,1)))</f>
        <v/>
      </c>
      <c r="M41" s="56" t="str">
        <f aca="false">IF($A41="","",SUMIFS(工数ログ!$E$4:$E$1003,工数ログ!$C$4:$C$1003,$A41,工数ログ!$A$4:$A$1003,"&gt;="&amp;M$28,工数ログ!$A$4:$A$1003,"&lt;"&amp;EDATE(M$28,1)))</f>
        <v/>
      </c>
      <c r="N41" s="56" t="str">
        <f aca="false">IF($A41="","",SUMIFS(工数ログ!$E$4:$E$1003,工数ログ!$C$4:$C$1003,$A41,工数ログ!$A$4:$A$1003,"&gt;="&amp;N$28,工数ログ!$A$4:$A$1003,"&lt;"&amp;EDATE(N$28,1)))</f>
        <v/>
      </c>
      <c r="O41" s="2"/>
      <c r="P41" s="2"/>
    </row>
    <row r="42" customFormat="false" ht="15" hidden="false" customHeight="false" outlineLevel="0" collapsed="false">
      <c r="A42" s="52" t="str">
        <f aca="false">IF(案件マスタ!$B17="","",案件マスタ!$B17)</f>
        <v/>
      </c>
      <c r="B42" s="2"/>
      <c r="C42" s="56" t="str">
        <f aca="false">IF($A42="","",SUMIFS(工数ログ!$E$4:$E$1003,工数ログ!$C$4:$C$1003,$A42,工数ログ!$A$4:$A$1003,"&gt;="&amp;C$28,工数ログ!$A$4:$A$1003,"&lt;"&amp;EDATE(C$28,1)))</f>
        <v/>
      </c>
      <c r="D42" s="56" t="str">
        <f aca="false">IF($A42="","",SUMIFS(工数ログ!$E$4:$E$1003,工数ログ!$C$4:$C$1003,$A42,工数ログ!$A$4:$A$1003,"&gt;="&amp;D$28,工数ログ!$A$4:$A$1003,"&lt;"&amp;EDATE(D$28,1)))</f>
        <v/>
      </c>
      <c r="E42" s="56" t="str">
        <f aca="false">IF($A42="","",SUMIFS(工数ログ!$E$4:$E$1003,工数ログ!$C$4:$C$1003,$A42,工数ログ!$A$4:$A$1003,"&gt;="&amp;E$28,工数ログ!$A$4:$A$1003,"&lt;"&amp;EDATE(E$28,1)))</f>
        <v/>
      </c>
      <c r="F42" s="56" t="str">
        <f aca="false">IF($A42="","",SUMIFS(工数ログ!$E$4:$E$1003,工数ログ!$C$4:$C$1003,$A42,工数ログ!$A$4:$A$1003,"&gt;="&amp;F$28,工数ログ!$A$4:$A$1003,"&lt;"&amp;EDATE(F$28,1)))</f>
        <v/>
      </c>
      <c r="G42" s="56" t="str">
        <f aca="false">IF($A42="","",SUMIFS(工数ログ!$E$4:$E$1003,工数ログ!$C$4:$C$1003,$A42,工数ログ!$A$4:$A$1003,"&gt;="&amp;G$28,工数ログ!$A$4:$A$1003,"&lt;"&amp;EDATE(G$28,1)))</f>
        <v/>
      </c>
      <c r="H42" s="56" t="str">
        <f aca="false">IF($A42="","",SUMIFS(工数ログ!$E$4:$E$1003,工数ログ!$C$4:$C$1003,$A42,工数ログ!$A$4:$A$1003,"&gt;="&amp;H$28,工数ログ!$A$4:$A$1003,"&lt;"&amp;EDATE(H$28,1)))</f>
        <v/>
      </c>
      <c r="I42" s="56" t="str">
        <f aca="false">IF($A42="","",SUMIFS(工数ログ!$E$4:$E$1003,工数ログ!$C$4:$C$1003,$A42,工数ログ!$A$4:$A$1003,"&gt;="&amp;I$28,工数ログ!$A$4:$A$1003,"&lt;"&amp;EDATE(I$28,1)))</f>
        <v/>
      </c>
      <c r="J42" s="56" t="str">
        <f aca="false">IF($A42="","",SUMIFS(工数ログ!$E$4:$E$1003,工数ログ!$C$4:$C$1003,$A42,工数ログ!$A$4:$A$1003,"&gt;="&amp;J$28,工数ログ!$A$4:$A$1003,"&lt;"&amp;EDATE(J$28,1)))</f>
        <v/>
      </c>
      <c r="K42" s="56" t="str">
        <f aca="false">IF($A42="","",SUMIFS(工数ログ!$E$4:$E$1003,工数ログ!$C$4:$C$1003,$A42,工数ログ!$A$4:$A$1003,"&gt;="&amp;K$28,工数ログ!$A$4:$A$1003,"&lt;"&amp;EDATE(K$28,1)))</f>
        <v/>
      </c>
      <c r="L42" s="56" t="str">
        <f aca="false">IF($A42="","",SUMIFS(工数ログ!$E$4:$E$1003,工数ログ!$C$4:$C$1003,$A42,工数ログ!$A$4:$A$1003,"&gt;="&amp;L$28,工数ログ!$A$4:$A$1003,"&lt;"&amp;EDATE(L$28,1)))</f>
        <v/>
      </c>
      <c r="M42" s="56" t="str">
        <f aca="false">IF($A42="","",SUMIFS(工数ログ!$E$4:$E$1003,工数ログ!$C$4:$C$1003,$A42,工数ログ!$A$4:$A$1003,"&gt;="&amp;M$28,工数ログ!$A$4:$A$1003,"&lt;"&amp;EDATE(M$28,1)))</f>
        <v/>
      </c>
      <c r="N42" s="56" t="str">
        <f aca="false">IF($A42="","",SUMIFS(工数ログ!$E$4:$E$1003,工数ログ!$C$4:$C$1003,$A42,工数ログ!$A$4:$A$1003,"&gt;="&amp;N$28,工数ログ!$A$4:$A$1003,"&lt;"&amp;EDATE(N$28,1)))</f>
        <v/>
      </c>
      <c r="O42" s="2"/>
      <c r="P42" s="2"/>
    </row>
    <row r="43" customFormat="false" ht="15" hidden="false" customHeight="false" outlineLevel="0" collapsed="false">
      <c r="A43" s="52" t="str">
        <f aca="false">IF(案件マスタ!$B18="","",案件マスタ!$B18)</f>
        <v/>
      </c>
      <c r="B43" s="2"/>
      <c r="C43" s="56" t="str">
        <f aca="false">IF($A43="","",SUMIFS(工数ログ!$E$4:$E$1003,工数ログ!$C$4:$C$1003,$A43,工数ログ!$A$4:$A$1003,"&gt;="&amp;C$28,工数ログ!$A$4:$A$1003,"&lt;"&amp;EDATE(C$28,1)))</f>
        <v/>
      </c>
      <c r="D43" s="56" t="str">
        <f aca="false">IF($A43="","",SUMIFS(工数ログ!$E$4:$E$1003,工数ログ!$C$4:$C$1003,$A43,工数ログ!$A$4:$A$1003,"&gt;="&amp;D$28,工数ログ!$A$4:$A$1003,"&lt;"&amp;EDATE(D$28,1)))</f>
        <v/>
      </c>
      <c r="E43" s="56" t="str">
        <f aca="false">IF($A43="","",SUMIFS(工数ログ!$E$4:$E$1003,工数ログ!$C$4:$C$1003,$A43,工数ログ!$A$4:$A$1003,"&gt;="&amp;E$28,工数ログ!$A$4:$A$1003,"&lt;"&amp;EDATE(E$28,1)))</f>
        <v/>
      </c>
      <c r="F43" s="56" t="str">
        <f aca="false">IF($A43="","",SUMIFS(工数ログ!$E$4:$E$1003,工数ログ!$C$4:$C$1003,$A43,工数ログ!$A$4:$A$1003,"&gt;="&amp;F$28,工数ログ!$A$4:$A$1003,"&lt;"&amp;EDATE(F$28,1)))</f>
        <v/>
      </c>
      <c r="G43" s="56" t="str">
        <f aca="false">IF($A43="","",SUMIFS(工数ログ!$E$4:$E$1003,工数ログ!$C$4:$C$1003,$A43,工数ログ!$A$4:$A$1003,"&gt;="&amp;G$28,工数ログ!$A$4:$A$1003,"&lt;"&amp;EDATE(G$28,1)))</f>
        <v/>
      </c>
      <c r="H43" s="56" t="str">
        <f aca="false">IF($A43="","",SUMIFS(工数ログ!$E$4:$E$1003,工数ログ!$C$4:$C$1003,$A43,工数ログ!$A$4:$A$1003,"&gt;="&amp;H$28,工数ログ!$A$4:$A$1003,"&lt;"&amp;EDATE(H$28,1)))</f>
        <v/>
      </c>
      <c r="I43" s="56" t="str">
        <f aca="false">IF($A43="","",SUMIFS(工数ログ!$E$4:$E$1003,工数ログ!$C$4:$C$1003,$A43,工数ログ!$A$4:$A$1003,"&gt;="&amp;I$28,工数ログ!$A$4:$A$1003,"&lt;"&amp;EDATE(I$28,1)))</f>
        <v/>
      </c>
      <c r="J43" s="56" t="str">
        <f aca="false">IF($A43="","",SUMIFS(工数ログ!$E$4:$E$1003,工数ログ!$C$4:$C$1003,$A43,工数ログ!$A$4:$A$1003,"&gt;="&amp;J$28,工数ログ!$A$4:$A$1003,"&lt;"&amp;EDATE(J$28,1)))</f>
        <v/>
      </c>
      <c r="K43" s="56" t="str">
        <f aca="false">IF($A43="","",SUMIFS(工数ログ!$E$4:$E$1003,工数ログ!$C$4:$C$1003,$A43,工数ログ!$A$4:$A$1003,"&gt;="&amp;K$28,工数ログ!$A$4:$A$1003,"&lt;"&amp;EDATE(K$28,1)))</f>
        <v/>
      </c>
      <c r="L43" s="56" t="str">
        <f aca="false">IF($A43="","",SUMIFS(工数ログ!$E$4:$E$1003,工数ログ!$C$4:$C$1003,$A43,工数ログ!$A$4:$A$1003,"&gt;="&amp;L$28,工数ログ!$A$4:$A$1003,"&lt;"&amp;EDATE(L$28,1)))</f>
        <v/>
      </c>
      <c r="M43" s="56" t="str">
        <f aca="false">IF($A43="","",SUMIFS(工数ログ!$E$4:$E$1003,工数ログ!$C$4:$C$1003,$A43,工数ログ!$A$4:$A$1003,"&gt;="&amp;M$28,工数ログ!$A$4:$A$1003,"&lt;"&amp;EDATE(M$28,1)))</f>
        <v/>
      </c>
      <c r="N43" s="56" t="str">
        <f aca="false">IF($A43="","",SUMIFS(工数ログ!$E$4:$E$1003,工数ログ!$C$4:$C$1003,$A43,工数ログ!$A$4:$A$1003,"&gt;="&amp;N$28,工数ログ!$A$4:$A$1003,"&lt;"&amp;EDATE(N$28,1)))</f>
        <v/>
      </c>
      <c r="O43" s="2"/>
      <c r="P43" s="2"/>
    </row>
    <row r="44" customFormat="false" ht="15" hidden="false" customHeight="false" outlineLevel="0" collapsed="false">
      <c r="A44" s="52" t="str">
        <f aca="false">IF(案件マスタ!$B19="","",案件マスタ!$B19)</f>
        <v/>
      </c>
      <c r="B44" s="2"/>
      <c r="C44" s="56" t="str">
        <f aca="false">IF($A44="","",SUMIFS(工数ログ!$E$4:$E$1003,工数ログ!$C$4:$C$1003,$A44,工数ログ!$A$4:$A$1003,"&gt;="&amp;C$28,工数ログ!$A$4:$A$1003,"&lt;"&amp;EDATE(C$28,1)))</f>
        <v/>
      </c>
      <c r="D44" s="56" t="str">
        <f aca="false">IF($A44="","",SUMIFS(工数ログ!$E$4:$E$1003,工数ログ!$C$4:$C$1003,$A44,工数ログ!$A$4:$A$1003,"&gt;="&amp;D$28,工数ログ!$A$4:$A$1003,"&lt;"&amp;EDATE(D$28,1)))</f>
        <v/>
      </c>
      <c r="E44" s="56" t="str">
        <f aca="false">IF($A44="","",SUMIFS(工数ログ!$E$4:$E$1003,工数ログ!$C$4:$C$1003,$A44,工数ログ!$A$4:$A$1003,"&gt;="&amp;E$28,工数ログ!$A$4:$A$1003,"&lt;"&amp;EDATE(E$28,1)))</f>
        <v/>
      </c>
      <c r="F44" s="56" t="str">
        <f aca="false">IF($A44="","",SUMIFS(工数ログ!$E$4:$E$1003,工数ログ!$C$4:$C$1003,$A44,工数ログ!$A$4:$A$1003,"&gt;="&amp;F$28,工数ログ!$A$4:$A$1003,"&lt;"&amp;EDATE(F$28,1)))</f>
        <v/>
      </c>
      <c r="G44" s="56" t="str">
        <f aca="false">IF($A44="","",SUMIFS(工数ログ!$E$4:$E$1003,工数ログ!$C$4:$C$1003,$A44,工数ログ!$A$4:$A$1003,"&gt;="&amp;G$28,工数ログ!$A$4:$A$1003,"&lt;"&amp;EDATE(G$28,1)))</f>
        <v/>
      </c>
      <c r="H44" s="56" t="str">
        <f aca="false">IF($A44="","",SUMIFS(工数ログ!$E$4:$E$1003,工数ログ!$C$4:$C$1003,$A44,工数ログ!$A$4:$A$1003,"&gt;="&amp;H$28,工数ログ!$A$4:$A$1003,"&lt;"&amp;EDATE(H$28,1)))</f>
        <v/>
      </c>
      <c r="I44" s="56" t="str">
        <f aca="false">IF($A44="","",SUMIFS(工数ログ!$E$4:$E$1003,工数ログ!$C$4:$C$1003,$A44,工数ログ!$A$4:$A$1003,"&gt;="&amp;I$28,工数ログ!$A$4:$A$1003,"&lt;"&amp;EDATE(I$28,1)))</f>
        <v/>
      </c>
      <c r="J44" s="56" t="str">
        <f aca="false">IF($A44="","",SUMIFS(工数ログ!$E$4:$E$1003,工数ログ!$C$4:$C$1003,$A44,工数ログ!$A$4:$A$1003,"&gt;="&amp;J$28,工数ログ!$A$4:$A$1003,"&lt;"&amp;EDATE(J$28,1)))</f>
        <v/>
      </c>
      <c r="K44" s="56" t="str">
        <f aca="false">IF($A44="","",SUMIFS(工数ログ!$E$4:$E$1003,工数ログ!$C$4:$C$1003,$A44,工数ログ!$A$4:$A$1003,"&gt;="&amp;K$28,工数ログ!$A$4:$A$1003,"&lt;"&amp;EDATE(K$28,1)))</f>
        <v/>
      </c>
      <c r="L44" s="56" t="str">
        <f aca="false">IF($A44="","",SUMIFS(工数ログ!$E$4:$E$1003,工数ログ!$C$4:$C$1003,$A44,工数ログ!$A$4:$A$1003,"&gt;="&amp;L$28,工数ログ!$A$4:$A$1003,"&lt;"&amp;EDATE(L$28,1)))</f>
        <v/>
      </c>
      <c r="M44" s="56" t="str">
        <f aca="false">IF($A44="","",SUMIFS(工数ログ!$E$4:$E$1003,工数ログ!$C$4:$C$1003,$A44,工数ログ!$A$4:$A$1003,"&gt;="&amp;M$28,工数ログ!$A$4:$A$1003,"&lt;"&amp;EDATE(M$28,1)))</f>
        <v/>
      </c>
      <c r="N44" s="56" t="str">
        <f aca="false">IF($A44="","",SUMIFS(工数ログ!$E$4:$E$1003,工数ログ!$C$4:$C$1003,$A44,工数ログ!$A$4:$A$1003,"&gt;="&amp;N$28,工数ログ!$A$4:$A$1003,"&lt;"&amp;EDATE(N$28,1)))</f>
        <v/>
      </c>
      <c r="O44" s="2"/>
      <c r="P44" s="2"/>
    </row>
    <row r="45" customFormat="false" ht="15" hidden="false" customHeight="false" outlineLevel="0" collapsed="false">
      <c r="A45" s="52" t="str">
        <f aca="false">IF(案件マスタ!$B20="","",案件マスタ!$B20)</f>
        <v/>
      </c>
      <c r="B45" s="2"/>
      <c r="C45" s="56" t="str">
        <f aca="false">IF($A45="","",SUMIFS(工数ログ!$E$4:$E$1003,工数ログ!$C$4:$C$1003,$A45,工数ログ!$A$4:$A$1003,"&gt;="&amp;C$28,工数ログ!$A$4:$A$1003,"&lt;"&amp;EDATE(C$28,1)))</f>
        <v/>
      </c>
      <c r="D45" s="56" t="str">
        <f aca="false">IF($A45="","",SUMIFS(工数ログ!$E$4:$E$1003,工数ログ!$C$4:$C$1003,$A45,工数ログ!$A$4:$A$1003,"&gt;="&amp;D$28,工数ログ!$A$4:$A$1003,"&lt;"&amp;EDATE(D$28,1)))</f>
        <v/>
      </c>
      <c r="E45" s="56" t="str">
        <f aca="false">IF($A45="","",SUMIFS(工数ログ!$E$4:$E$1003,工数ログ!$C$4:$C$1003,$A45,工数ログ!$A$4:$A$1003,"&gt;="&amp;E$28,工数ログ!$A$4:$A$1003,"&lt;"&amp;EDATE(E$28,1)))</f>
        <v/>
      </c>
      <c r="F45" s="56" t="str">
        <f aca="false">IF($A45="","",SUMIFS(工数ログ!$E$4:$E$1003,工数ログ!$C$4:$C$1003,$A45,工数ログ!$A$4:$A$1003,"&gt;="&amp;F$28,工数ログ!$A$4:$A$1003,"&lt;"&amp;EDATE(F$28,1)))</f>
        <v/>
      </c>
      <c r="G45" s="56" t="str">
        <f aca="false">IF($A45="","",SUMIFS(工数ログ!$E$4:$E$1003,工数ログ!$C$4:$C$1003,$A45,工数ログ!$A$4:$A$1003,"&gt;="&amp;G$28,工数ログ!$A$4:$A$1003,"&lt;"&amp;EDATE(G$28,1)))</f>
        <v/>
      </c>
      <c r="H45" s="56" t="str">
        <f aca="false">IF($A45="","",SUMIFS(工数ログ!$E$4:$E$1003,工数ログ!$C$4:$C$1003,$A45,工数ログ!$A$4:$A$1003,"&gt;="&amp;H$28,工数ログ!$A$4:$A$1003,"&lt;"&amp;EDATE(H$28,1)))</f>
        <v/>
      </c>
      <c r="I45" s="56" t="str">
        <f aca="false">IF($A45="","",SUMIFS(工数ログ!$E$4:$E$1003,工数ログ!$C$4:$C$1003,$A45,工数ログ!$A$4:$A$1003,"&gt;="&amp;I$28,工数ログ!$A$4:$A$1003,"&lt;"&amp;EDATE(I$28,1)))</f>
        <v/>
      </c>
      <c r="J45" s="56" t="str">
        <f aca="false">IF($A45="","",SUMIFS(工数ログ!$E$4:$E$1003,工数ログ!$C$4:$C$1003,$A45,工数ログ!$A$4:$A$1003,"&gt;="&amp;J$28,工数ログ!$A$4:$A$1003,"&lt;"&amp;EDATE(J$28,1)))</f>
        <v/>
      </c>
      <c r="K45" s="56" t="str">
        <f aca="false">IF($A45="","",SUMIFS(工数ログ!$E$4:$E$1003,工数ログ!$C$4:$C$1003,$A45,工数ログ!$A$4:$A$1003,"&gt;="&amp;K$28,工数ログ!$A$4:$A$1003,"&lt;"&amp;EDATE(K$28,1)))</f>
        <v/>
      </c>
      <c r="L45" s="56" t="str">
        <f aca="false">IF($A45="","",SUMIFS(工数ログ!$E$4:$E$1003,工数ログ!$C$4:$C$1003,$A45,工数ログ!$A$4:$A$1003,"&gt;="&amp;L$28,工数ログ!$A$4:$A$1003,"&lt;"&amp;EDATE(L$28,1)))</f>
        <v/>
      </c>
      <c r="M45" s="56" t="str">
        <f aca="false">IF($A45="","",SUMIFS(工数ログ!$E$4:$E$1003,工数ログ!$C$4:$C$1003,$A45,工数ログ!$A$4:$A$1003,"&gt;="&amp;M$28,工数ログ!$A$4:$A$1003,"&lt;"&amp;EDATE(M$28,1)))</f>
        <v/>
      </c>
      <c r="N45" s="56" t="str">
        <f aca="false">IF($A45="","",SUMIFS(工数ログ!$E$4:$E$1003,工数ログ!$C$4:$C$1003,$A45,工数ログ!$A$4:$A$1003,"&gt;="&amp;N$28,工数ログ!$A$4:$A$1003,"&lt;"&amp;EDATE(N$28,1)))</f>
        <v/>
      </c>
      <c r="O45" s="2"/>
      <c r="P45" s="2"/>
    </row>
    <row r="46" customFormat="false" ht="15" hidden="false" customHeight="false" outlineLevel="0" collapsed="false">
      <c r="A46" s="52" t="str">
        <f aca="false">IF(案件マスタ!$B21="","",案件マスタ!$B21)</f>
        <v/>
      </c>
      <c r="B46" s="2"/>
      <c r="C46" s="56" t="str">
        <f aca="false">IF($A46="","",SUMIFS(工数ログ!$E$4:$E$1003,工数ログ!$C$4:$C$1003,$A46,工数ログ!$A$4:$A$1003,"&gt;="&amp;C$28,工数ログ!$A$4:$A$1003,"&lt;"&amp;EDATE(C$28,1)))</f>
        <v/>
      </c>
      <c r="D46" s="56" t="str">
        <f aca="false">IF($A46="","",SUMIFS(工数ログ!$E$4:$E$1003,工数ログ!$C$4:$C$1003,$A46,工数ログ!$A$4:$A$1003,"&gt;="&amp;D$28,工数ログ!$A$4:$A$1003,"&lt;"&amp;EDATE(D$28,1)))</f>
        <v/>
      </c>
      <c r="E46" s="56" t="str">
        <f aca="false">IF($A46="","",SUMIFS(工数ログ!$E$4:$E$1003,工数ログ!$C$4:$C$1003,$A46,工数ログ!$A$4:$A$1003,"&gt;="&amp;E$28,工数ログ!$A$4:$A$1003,"&lt;"&amp;EDATE(E$28,1)))</f>
        <v/>
      </c>
      <c r="F46" s="56" t="str">
        <f aca="false">IF($A46="","",SUMIFS(工数ログ!$E$4:$E$1003,工数ログ!$C$4:$C$1003,$A46,工数ログ!$A$4:$A$1003,"&gt;="&amp;F$28,工数ログ!$A$4:$A$1003,"&lt;"&amp;EDATE(F$28,1)))</f>
        <v/>
      </c>
      <c r="G46" s="56" t="str">
        <f aca="false">IF($A46="","",SUMIFS(工数ログ!$E$4:$E$1003,工数ログ!$C$4:$C$1003,$A46,工数ログ!$A$4:$A$1003,"&gt;="&amp;G$28,工数ログ!$A$4:$A$1003,"&lt;"&amp;EDATE(G$28,1)))</f>
        <v/>
      </c>
      <c r="H46" s="56" t="str">
        <f aca="false">IF($A46="","",SUMIFS(工数ログ!$E$4:$E$1003,工数ログ!$C$4:$C$1003,$A46,工数ログ!$A$4:$A$1003,"&gt;="&amp;H$28,工数ログ!$A$4:$A$1003,"&lt;"&amp;EDATE(H$28,1)))</f>
        <v/>
      </c>
      <c r="I46" s="56" t="str">
        <f aca="false">IF($A46="","",SUMIFS(工数ログ!$E$4:$E$1003,工数ログ!$C$4:$C$1003,$A46,工数ログ!$A$4:$A$1003,"&gt;="&amp;I$28,工数ログ!$A$4:$A$1003,"&lt;"&amp;EDATE(I$28,1)))</f>
        <v/>
      </c>
      <c r="J46" s="56" t="str">
        <f aca="false">IF($A46="","",SUMIFS(工数ログ!$E$4:$E$1003,工数ログ!$C$4:$C$1003,$A46,工数ログ!$A$4:$A$1003,"&gt;="&amp;J$28,工数ログ!$A$4:$A$1003,"&lt;"&amp;EDATE(J$28,1)))</f>
        <v/>
      </c>
      <c r="K46" s="56" t="str">
        <f aca="false">IF($A46="","",SUMIFS(工数ログ!$E$4:$E$1003,工数ログ!$C$4:$C$1003,$A46,工数ログ!$A$4:$A$1003,"&gt;="&amp;K$28,工数ログ!$A$4:$A$1003,"&lt;"&amp;EDATE(K$28,1)))</f>
        <v/>
      </c>
      <c r="L46" s="56" t="str">
        <f aca="false">IF($A46="","",SUMIFS(工数ログ!$E$4:$E$1003,工数ログ!$C$4:$C$1003,$A46,工数ログ!$A$4:$A$1003,"&gt;="&amp;L$28,工数ログ!$A$4:$A$1003,"&lt;"&amp;EDATE(L$28,1)))</f>
        <v/>
      </c>
      <c r="M46" s="56" t="str">
        <f aca="false">IF($A46="","",SUMIFS(工数ログ!$E$4:$E$1003,工数ログ!$C$4:$C$1003,$A46,工数ログ!$A$4:$A$1003,"&gt;="&amp;M$28,工数ログ!$A$4:$A$1003,"&lt;"&amp;EDATE(M$28,1)))</f>
        <v/>
      </c>
      <c r="N46" s="56" t="str">
        <f aca="false">IF($A46="","",SUMIFS(工数ログ!$E$4:$E$1003,工数ログ!$C$4:$C$1003,$A46,工数ログ!$A$4:$A$1003,"&gt;="&amp;N$28,工数ログ!$A$4:$A$1003,"&lt;"&amp;EDATE(N$28,1)))</f>
        <v/>
      </c>
      <c r="O46" s="2"/>
      <c r="P46" s="2"/>
    </row>
    <row r="47" customFormat="false" ht="15" hidden="false" customHeight="false" outlineLevel="0" collapsed="false">
      <c r="A47" s="52" t="str">
        <f aca="false">IF(案件マスタ!$B22="","",案件マスタ!$B22)</f>
        <v/>
      </c>
      <c r="B47" s="2"/>
      <c r="C47" s="56" t="str">
        <f aca="false">IF($A47="","",SUMIFS(工数ログ!$E$4:$E$1003,工数ログ!$C$4:$C$1003,$A47,工数ログ!$A$4:$A$1003,"&gt;="&amp;C$28,工数ログ!$A$4:$A$1003,"&lt;"&amp;EDATE(C$28,1)))</f>
        <v/>
      </c>
      <c r="D47" s="56" t="str">
        <f aca="false">IF($A47="","",SUMIFS(工数ログ!$E$4:$E$1003,工数ログ!$C$4:$C$1003,$A47,工数ログ!$A$4:$A$1003,"&gt;="&amp;D$28,工数ログ!$A$4:$A$1003,"&lt;"&amp;EDATE(D$28,1)))</f>
        <v/>
      </c>
      <c r="E47" s="56" t="str">
        <f aca="false">IF($A47="","",SUMIFS(工数ログ!$E$4:$E$1003,工数ログ!$C$4:$C$1003,$A47,工数ログ!$A$4:$A$1003,"&gt;="&amp;E$28,工数ログ!$A$4:$A$1003,"&lt;"&amp;EDATE(E$28,1)))</f>
        <v/>
      </c>
      <c r="F47" s="56" t="str">
        <f aca="false">IF($A47="","",SUMIFS(工数ログ!$E$4:$E$1003,工数ログ!$C$4:$C$1003,$A47,工数ログ!$A$4:$A$1003,"&gt;="&amp;F$28,工数ログ!$A$4:$A$1003,"&lt;"&amp;EDATE(F$28,1)))</f>
        <v/>
      </c>
      <c r="G47" s="56" t="str">
        <f aca="false">IF($A47="","",SUMIFS(工数ログ!$E$4:$E$1003,工数ログ!$C$4:$C$1003,$A47,工数ログ!$A$4:$A$1003,"&gt;="&amp;G$28,工数ログ!$A$4:$A$1003,"&lt;"&amp;EDATE(G$28,1)))</f>
        <v/>
      </c>
      <c r="H47" s="56" t="str">
        <f aca="false">IF($A47="","",SUMIFS(工数ログ!$E$4:$E$1003,工数ログ!$C$4:$C$1003,$A47,工数ログ!$A$4:$A$1003,"&gt;="&amp;H$28,工数ログ!$A$4:$A$1003,"&lt;"&amp;EDATE(H$28,1)))</f>
        <v/>
      </c>
      <c r="I47" s="56" t="str">
        <f aca="false">IF($A47="","",SUMIFS(工数ログ!$E$4:$E$1003,工数ログ!$C$4:$C$1003,$A47,工数ログ!$A$4:$A$1003,"&gt;="&amp;I$28,工数ログ!$A$4:$A$1003,"&lt;"&amp;EDATE(I$28,1)))</f>
        <v/>
      </c>
      <c r="J47" s="56" t="str">
        <f aca="false">IF($A47="","",SUMIFS(工数ログ!$E$4:$E$1003,工数ログ!$C$4:$C$1003,$A47,工数ログ!$A$4:$A$1003,"&gt;="&amp;J$28,工数ログ!$A$4:$A$1003,"&lt;"&amp;EDATE(J$28,1)))</f>
        <v/>
      </c>
      <c r="K47" s="56" t="str">
        <f aca="false">IF($A47="","",SUMIFS(工数ログ!$E$4:$E$1003,工数ログ!$C$4:$C$1003,$A47,工数ログ!$A$4:$A$1003,"&gt;="&amp;K$28,工数ログ!$A$4:$A$1003,"&lt;"&amp;EDATE(K$28,1)))</f>
        <v/>
      </c>
      <c r="L47" s="56" t="str">
        <f aca="false">IF($A47="","",SUMIFS(工数ログ!$E$4:$E$1003,工数ログ!$C$4:$C$1003,$A47,工数ログ!$A$4:$A$1003,"&gt;="&amp;L$28,工数ログ!$A$4:$A$1003,"&lt;"&amp;EDATE(L$28,1)))</f>
        <v/>
      </c>
      <c r="M47" s="56" t="str">
        <f aca="false">IF($A47="","",SUMIFS(工数ログ!$E$4:$E$1003,工数ログ!$C$4:$C$1003,$A47,工数ログ!$A$4:$A$1003,"&gt;="&amp;M$28,工数ログ!$A$4:$A$1003,"&lt;"&amp;EDATE(M$28,1)))</f>
        <v/>
      </c>
      <c r="N47" s="56" t="str">
        <f aca="false">IF($A47="","",SUMIFS(工数ログ!$E$4:$E$1003,工数ログ!$C$4:$C$1003,$A47,工数ログ!$A$4:$A$1003,"&gt;="&amp;N$28,工数ログ!$A$4:$A$1003,"&lt;"&amp;EDATE(N$28,1)))</f>
        <v/>
      </c>
      <c r="O47" s="2"/>
      <c r="P47" s="2"/>
    </row>
    <row r="48" customFormat="false" ht="15" hidden="false" customHeight="false" outlineLevel="0" collapsed="false">
      <c r="A48" s="52" t="str">
        <f aca="false">IF(案件マスタ!$B23="","",案件マスタ!$B23)</f>
        <v/>
      </c>
      <c r="B48" s="2"/>
      <c r="C48" s="56" t="str">
        <f aca="false">IF($A48="","",SUMIFS(工数ログ!$E$4:$E$1003,工数ログ!$C$4:$C$1003,$A48,工数ログ!$A$4:$A$1003,"&gt;="&amp;C$28,工数ログ!$A$4:$A$1003,"&lt;"&amp;EDATE(C$28,1)))</f>
        <v/>
      </c>
      <c r="D48" s="56" t="str">
        <f aca="false">IF($A48="","",SUMIFS(工数ログ!$E$4:$E$1003,工数ログ!$C$4:$C$1003,$A48,工数ログ!$A$4:$A$1003,"&gt;="&amp;D$28,工数ログ!$A$4:$A$1003,"&lt;"&amp;EDATE(D$28,1)))</f>
        <v/>
      </c>
      <c r="E48" s="56" t="str">
        <f aca="false">IF($A48="","",SUMIFS(工数ログ!$E$4:$E$1003,工数ログ!$C$4:$C$1003,$A48,工数ログ!$A$4:$A$1003,"&gt;="&amp;E$28,工数ログ!$A$4:$A$1003,"&lt;"&amp;EDATE(E$28,1)))</f>
        <v/>
      </c>
      <c r="F48" s="56" t="str">
        <f aca="false">IF($A48="","",SUMIFS(工数ログ!$E$4:$E$1003,工数ログ!$C$4:$C$1003,$A48,工数ログ!$A$4:$A$1003,"&gt;="&amp;F$28,工数ログ!$A$4:$A$1003,"&lt;"&amp;EDATE(F$28,1)))</f>
        <v/>
      </c>
      <c r="G48" s="56" t="str">
        <f aca="false">IF($A48="","",SUMIFS(工数ログ!$E$4:$E$1003,工数ログ!$C$4:$C$1003,$A48,工数ログ!$A$4:$A$1003,"&gt;="&amp;G$28,工数ログ!$A$4:$A$1003,"&lt;"&amp;EDATE(G$28,1)))</f>
        <v/>
      </c>
      <c r="H48" s="56" t="str">
        <f aca="false">IF($A48="","",SUMIFS(工数ログ!$E$4:$E$1003,工数ログ!$C$4:$C$1003,$A48,工数ログ!$A$4:$A$1003,"&gt;="&amp;H$28,工数ログ!$A$4:$A$1003,"&lt;"&amp;EDATE(H$28,1)))</f>
        <v/>
      </c>
      <c r="I48" s="56" t="str">
        <f aca="false">IF($A48="","",SUMIFS(工数ログ!$E$4:$E$1003,工数ログ!$C$4:$C$1003,$A48,工数ログ!$A$4:$A$1003,"&gt;="&amp;I$28,工数ログ!$A$4:$A$1003,"&lt;"&amp;EDATE(I$28,1)))</f>
        <v/>
      </c>
      <c r="J48" s="56" t="str">
        <f aca="false">IF($A48="","",SUMIFS(工数ログ!$E$4:$E$1003,工数ログ!$C$4:$C$1003,$A48,工数ログ!$A$4:$A$1003,"&gt;="&amp;J$28,工数ログ!$A$4:$A$1003,"&lt;"&amp;EDATE(J$28,1)))</f>
        <v/>
      </c>
      <c r="K48" s="56" t="str">
        <f aca="false">IF($A48="","",SUMIFS(工数ログ!$E$4:$E$1003,工数ログ!$C$4:$C$1003,$A48,工数ログ!$A$4:$A$1003,"&gt;="&amp;K$28,工数ログ!$A$4:$A$1003,"&lt;"&amp;EDATE(K$28,1)))</f>
        <v/>
      </c>
      <c r="L48" s="56" t="str">
        <f aca="false">IF($A48="","",SUMIFS(工数ログ!$E$4:$E$1003,工数ログ!$C$4:$C$1003,$A48,工数ログ!$A$4:$A$1003,"&gt;="&amp;L$28,工数ログ!$A$4:$A$1003,"&lt;"&amp;EDATE(L$28,1)))</f>
        <v/>
      </c>
      <c r="M48" s="56" t="str">
        <f aca="false">IF($A48="","",SUMIFS(工数ログ!$E$4:$E$1003,工数ログ!$C$4:$C$1003,$A48,工数ログ!$A$4:$A$1003,"&gt;="&amp;M$28,工数ログ!$A$4:$A$1003,"&lt;"&amp;EDATE(M$28,1)))</f>
        <v/>
      </c>
      <c r="N48" s="56" t="str">
        <f aca="false">IF($A48="","",SUMIFS(工数ログ!$E$4:$E$1003,工数ログ!$C$4:$C$1003,$A48,工数ログ!$A$4:$A$1003,"&gt;="&amp;N$28,工数ログ!$A$4:$A$1003,"&lt;"&amp;EDATE(N$28,1)))</f>
        <v/>
      </c>
      <c r="O48" s="2"/>
      <c r="P48" s="2"/>
    </row>
    <row r="49" customFormat="false" ht="15" hidden="false" customHeight="false" outlineLevel="0" collapsed="false">
      <c r="A49" s="54" t="s">
        <v>54</v>
      </c>
      <c r="B49" s="2"/>
      <c r="C49" s="55" t="n">
        <f aca="false">SUM(C29:C48)</f>
        <v>13</v>
      </c>
      <c r="D49" s="55" t="n">
        <f aca="false">SUM(D29:D48)</f>
        <v>0</v>
      </c>
      <c r="E49" s="55" t="n">
        <f aca="false">SUM(E29:E48)</f>
        <v>0</v>
      </c>
      <c r="F49" s="55" t="n">
        <f aca="false">SUM(F29:F48)</f>
        <v>0</v>
      </c>
      <c r="G49" s="55" t="n">
        <f aca="false">SUM(G29:G48)</f>
        <v>0</v>
      </c>
      <c r="H49" s="55" t="n">
        <f aca="false">SUM(H29:H48)</f>
        <v>0</v>
      </c>
      <c r="I49" s="55" t="n">
        <f aca="false">SUM(I29:I48)</f>
        <v>0</v>
      </c>
      <c r="J49" s="55" t="n">
        <f aca="false">SUM(J29:J48)</f>
        <v>0</v>
      </c>
      <c r="K49" s="55" t="n">
        <f aca="false">SUM(K29:K48)</f>
        <v>0</v>
      </c>
      <c r="L49" s="55" t="n">
        <f aca="false">SUM(L29:L48)</f>
        <v>0</v>
      </c>
      <c r="M49" s="55" t="n">
        <f aca="false">SUM(M29:M48)</f>
        <v>0</v>
      </c>
      <c r="N49" s="55" t="n">
        <f aca="false">SUM(N29:N48)</f>
        <v>0</v>
      </c>
      <c r="O49" s="2"/>
      <c r="P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5" hidden="false" customHeight="false" outlineLevel="0" collapsed="false">
      <c r="A51" s="5" t="s">
        <v>79</v>
      </c>
      <c r="B51" s="2"/>
      <c r="C51" s="51" t="n">
        <f aca="false">EDATE($C$3,0)</f>
        <v>46266</v>
      </c>
      <c r="D51" s="51" t="n">
        <f aca="false">EDATE($C$3,1)</f>
        <v>46296</v>
      </c>
      <c r="E51" s="51" t="n">
        <f aca="false">EDATE($C$3,2)</f>
        <v>46327</v>
      </c>
      <c r="F51" s="51" t="n">
        <f aca="false">EDATE($C$3,3)</f>
        <v>46357</v>
      </c>
      <c r="G51" s="51" t="n">
        <f aca="false">EDATE($C$3,4)</f>
        <v>46388</v>
      </c>
      <c r="H51" s="51" t="n">
        <f aca="false">EDATE($C$3,5)</f>
        <v>46419</v>
      </c>
      <c r="I51" s="51" t="n">
        <f aca="false">EDATE($C$3,6)</f>
        <v>46447</v>
      </c>
      <c r="J51" s="51" t="n">
        <f aca="false">EDATE($C$3,7)</f>
        <v>46478</v>
      </c>
      <c r="K51" s="51" t="n">
        <f aca="false">EDATE($C$3,8)</f>
        <v>46508</v>
      </c>
      <c r="L51" s="51" t="n">
        <f aca="false">EDATE($C$3,9)</f>
        <v>46539</v>
      </c>
      <c r="M51" s="51" t="n">
        <f aca="false">EDATE($C$3,10)</f>
        <v>46569</v>
      </c>
      <c r="N51" s="51" t="n">
        <f aca="false">EDATE($C$3,11)</f>
        <v>46600</v>
      </c>
      <c r="O51" s="2"/>
      <c r="P51" s="2"/>
    </row>
    <row r="52" customFormat="false" ht="15" hidden="false" customHeight="false" outlineLevel="0" collapsed="false">
      <c r="A52" s="52" t="str">
        <f aca="false">IF(案件マスタ!$B4="","",案件マスタ!$B4)</f>
        <v>A社_無線LAN更改</v>
      </c>
      <c r="B52" s="2"/>
      <c r="C52" s="57" t="n">
        <f aca="false">IF($A52="","",C29-C6)</f>
        <v>-32.5</v>
      </c>
      <c r="D52" s="57" t="n">
        <f aca="false">IF($A52="","",D29-D6)</f>
        <v>0</v>
      </c>
      <c r="E52" s="57" t="n">
        <f aca="false">IF($A52="","",E29-E6)</f>
        <v>0</v>
      </c>
      <c r="F52" s="57" t="n">
        <f aca="false">IF($A52="","",F29-F6)</f>
        <v>0</v>
      </c>
      <c r="G52" s="57" t="n">
        <f aca="false">IF($A52="","",G29-G6)</f>
        <v>0</v>
      </c>
      <c r="H52" s="57" t="n">
        <f aca="false">IF($A52="","",H29-H6)</f>
        <v>0</v>
      </c>
      <c r="I52" s="57" t="n">
        <f aca="false">IF($A52="","",I29-I6)</f>
        <v>0</v>
      </c>
      <c r="J52" s="57" t="n">
        <f aca="false">IF($A52="","",J29-J6)</f>
        <v>0</v>
      </c>
      <c r="K52" s="57" t="n">
        <f aca="false">IF($A52="","",K29-K6)</f>
        <v>0</v>
      </c>
      <c r="L52" s="57" t="n">
        <f aca="false">IF($A52="","",L29-L6)</f>
        <v>0</v>
      </c>
      <c r="M52" s="57" t="n">
        <f aca="false">IF($A52="","",M29-M6)</f>
        <v>0</v>
      </c>
      <c r="N52" s="57" t="n">
        <f aca="false">IF($A52="","",N29-N6)</f>
        <v>0</v>
      </c>
      <c r="O52" s="2"/>
      <c r="P52" s="2"/>
    </row>
    <row r="53" customFormat="false" ht="15" hidden="false" customHeight="false" outlineLevel="0" collapsed="false">
      <c r="A53" s="52" t="str">
        <f aca="false">IF(案件マスタ!$B5="","",案件マスタ!$B5)</f>
        <v>A社_FW更改</v>
      </c>
      <c r="B53" s="2"/>
      <c r="C53" s="57" t="n">
        <f aca="false">IF($A53="","",C30-C7)</f>
        <v>-22.5</v>
      </c>
      <c r="D53" s="57" t="n">
        <f aca="false">IF($A53="","",D30-D7)</f>
        <v>0</v>
      </c>
      <c r="E53" s="57" t="n">
        <f aca="false">IF($A53="","",E30-E7)</f>
        <v>0</v>
      </c>
      <c r="F53" s="57" t="n">
        <f aca="false">IF($A53="","",F30-F7)</f>
        <v>0</v>
      </c>
      <c r="G53" s="57" t="n">
        <f aca="false">IF($A53="","",G30-G7)</f>
        <v>0</v>
      </c>
      <c r="H53" s="57" t="n">
        <f aca="false">IF($A53="","",H30-H7)</f>
        <v>0</v>
      </c>
      <c r="I53" s="57" t="n">
        <f aca="false">IF($A53="","",I30-I7)</f>
        <v>0</v>
      </c>
      <c r="J53" s="57" t="n">
        <f aca="false">IF($A53="","",J30-J7)</f>
        <v>0</v>
      </c>
      <c r="K53" s="57" t="n">
        <f aca="false">IF($A53="","",K30-K7)</f>
        <v>0</v>
      </c>
      <c r="L53" s="57" t="n">
        <f aca="false">IF($A53="","",L30-L7)</f>
        <v>0</v>
      </c>
      <c r="M53" s="57" t="n">
        <f aca="false">IF($A53="","",M30-M7)</f>
        <v>0</v>
      </c>
      <c r="N53" s="57" t="n">
        <f aca="false">IF($A53="","",N30-N7)</f>
        <v>0</v>
      </c>
      <c r="O53" s="2"/>
      <c r="P53" s="2"/>
    </row>
    <row r="54" customFormat="false" ht="15" hidden="false" customHeight="false" outlineLevel="0" collapsed="false">
      <c r="A54" s="52" t="str">
        <f aca="false">IF(案件マスタ!$B6="","",案件マスタ!$B6)</f>
        <v>B社_監視導入</v>
      </c>
      <c r="B54" s="2"/>
      <c r="C54" s="57" t="n">
        <f aca="false">IF($A54="","",C31-C8)</f>
        <v>-12</v>
      </c>
      <c r="D54" s="57" t="n">
        <f aca="false">IF($A54="","",D31-D8)</f>
        <v>0</v>
      </c>
      <c r="E54" s="57" t="n">
        <f aca="false">IF($A54="","",E31-E8)</f>
        <v>0</v>
      </c>
      <c r="F54" s="57" t="n">
        <f aca="false">IF($A54="","",F31-F8)</f>
        <v>0</v>
      </c>
      <c r="G54" s="57" t="n">
        <f aca="false">IF($A54="","",G31-G8)</f>
        <v>0</v>
      </c>
      <c r="H54" s="57" t="n">
        <f aca="false">IF($A54="","",H31-H8)</f>
        <v>0</v>
      </c>
      <c r="I54" s="57" t="n">
        <f aca="false">IF($A54="","",I31-I8)</f>
        <v>0</v>
      </c>
      <c r="J54" s="57" t="n">
        <f aca="false">IF($A54="","",J31-J8)</f>
        <v>0</v>
      </c>
      <c r="K54" s="57" t="n">
        <f aca="false">IF($A54="","",K31-K8)</f>
        <v>0</v>
      </c>
      <c r="L54" s="57" t="n">
        <f aca="false">IF($A54="","",L31-L8)</f>
        <v>0</v>
      </c>
      <c r="M54" s="57" t="n">
        <f aca="false">IF($A54="","",M31-M8)</f>
        <v>0</v>
      </c>
      <c r="N54" s="57" t="n">
        <f aca="false">IF($A54="","",N31-N8)</f>
        <v>0</v>
      </c>
      <c r="O54" s="2"/>
      <c r="P54" s="2"/>
    </row>
    <row r="55" customFormat="false" ht="15" hidden="false" customHeight="false" outlineLevel="0" collapsed="false">
      <c r="A55" s="52" t="str">
        <f aca="false">IF(案件マスタ!$B7="","",案件マスタ!$B7)</f>
        <v/>
      </c>
      <c r="B55" s="2"/>
      <c r="C55" s="57" t="str">
        <f aca="false">IF($A55="","",C32-C9)</f>
        <v/>
      </c>
      <c r="D55" s="57" t="str">
        <f aca="false">IF($A55="","",D32-D9)</f>
        <v/>
      </c>
      <c r="E55" s="57" t="str">
        <f aca="false">IF($A55="","",E32-E9)</f>
        <v/>
      </c>
      <c r="F55" s="57" t="str">
        <f aca="false">IF($A55="","",F32-F9)</f>
        <v/>
      </c>
      <c r="G55" s="57" t="str">
        <f aca="false">IF($A55="","",G32-G9)</f>
        <v/>
      </c>
      <c r="H55" s="57" t="str">
        <f aca="false">IF($A55="","",H32-H9)</f>
        <v/>
      </c>
      <c r="I55" s="57" t="str">
        <f aca="false">IF($A55="","",I32-I9)</f>
        <v/>
      </c>
      <c r="J55" s="57" t="str">
        <f aca="false">IF($A55="","",J32-J9)</f>
        <v/>
      </c>
      <c r="K55" s="57" t="str">
        <f aca="false">IF($A55="","",K32-K9)</f>
        <v/>
      </c>
      <c r="L55" s="57" t="str">
        <f aca="false">IF($A55="","",L32-L9)</f>
        <v/>
      </c>
      <c r="M55" s="57" t="str">
        <f aca="false">IF($A55="","",M32-M9)</f>
        <v/>
      </c>
      <c r="N55" s="57" t="str">
        <f aca="false">IF($A55="","",N32-N9)</f>
        <v/>
      </c>
      <c r="O55" s="2"/>
      <c r="P55" s="2"/>
    </row>
    <row r="56" customFormat="false" ht="15" hidden="false" customHeight="false" outlineLevel="0" collapsed="false">
      <c r="A56" s="52" t="str">
        <f aca="false">IF(案件マスタ!$B8="","",案件マスタ!$B8)</f>
        <v/>
      </c>
      <c r="B56" s="2"/>
      <c r="C56" s="57" t="str">
        <f aca="false">IF($A56="","",C33-C10)</f>
        <v/>
      </c>
      <c r="D56" s="57" t="str">
        <f aca="false">IF($A56="","",D33-D10)</f>
        <v/>
      </c>
      <c r="E56" s="57" t="str">
        <f aca="false">IF($A56="","",E33-E10)</f>
        <v/>
      </c>
      <c r="F56" s="57" t="str">
        <f aca="false">IF($A56="","",F33-F10)</f>
        <v/>
      </c>
      <c r="G56" s="57" t="str">
        <f aca="false">IF($A56="","",G33-G10)</f>
        <v/>
      </c>
      <c r="H56" s="57" t="str">
        <f aca="false">IF($A56="","",H33-H10)</f>
        <v/>
      </c>
      <c r="I56" s="57" t="str">
        <f aca="false">IF($A56="","",I33-I10)</f>
        <v/>
      </c>
      <c r="J56" s="57" t="str">
        <f aca="false">IF($A56="","",J33-J10)</f>
        <v/>
      </c>
      <c r="K56" s="57" t="str">
        <f aca="false">IF($A56="","",K33-K10)</f>
        <v/>
      </c>
      <c r="L56" s="57" t="str">
        <f aca="false">IF($A56="","",L33-L10)</f>
        <v/>
      </c>
      <c r="M56" s="57" t="str">
        <f aca="false">IF($A56="","",M33-M10)</f>
        <v/>
      </c>
      <c r="N56" s="57" t="str">
        <f aca="false">IF($A56="","",N33-N10)</f>
        <v/>
      </c>
      <c r="O56" s="2"/>
      <c r="P56" s="2"/>
    </row>
    <row r="57" customFormat="false" ht="15" hidden="false" customHeight="false" outlineLevel="0" collapsed="false">
      <c r="A57" s="52" t="str">
        <f aca="false">IF(案件マスタ!$B9="","",案件マスタ!$B9)</f>
        <v/>
      </c>
      <c r="B57" s="2"/>
      <c r="C57" s="57" t="str">
        <f aca="false">IF($A57="","",C34-C11)</f>
        <v/>
      </c>
      <c r="D57" s="57" t="str">
        <f aca="false">IF($A57="","",D34-D11)</f>
        <v/>
      </c>
      <c r="E57" s="57" t="str">
        <f aca="false">IF($A57="","",E34-E11)</f>
        <v/>
      </c>
      <c r="F57" s="57" t="str">
        <f aca="false">IF($A57="","",F34-F11)</f>
        <v/>
      </c>
      <c r="G57" s="57" t="str">
        <f aca="false">IF($A57="","",G34-G11)</f>
        <v/>
      </c>
      <c r="H57" s="57" t="str">
        <f aca="false">IF($A57="","",H34-H11)</f>
        <v/>
      </c>
      <c r="I57" s="57" t="str">
        <f aca="false">IF($A57="","",I34-I11)</f>
        <v/>
      </c>
      <c r="J57" s="57" t="str">
        <f aca="false">IF($A57="","",J34-J11)</f>
        <v/>
      </c>
      <c r="K57" s="57" t="str">
        <f aca="false">IF($A57="","",K34-K11)</f>
        <v/>
      </c>
      <c r="L57" s="57" t="str">
        <f aca="false">IF($A57="","",L34-L11)</f>
        <v/>
      </c>
      <c r="M57" s="57" t="str">
        <f aca="false">IF($A57="","",M34-M11)</f>
        <v/>
      </c>
      <c r="N57" s="57" t="str">
        <f aca="false">IF($A57="","",N34-N11)</f>
        <v/>
      </c>
      <c r="O57" s="2"/>
      <c r="P57" s="2"/>
    </row>
    <row r="58" customFormat="false" ht="15" hidden="false" customHeight="false" outlineLevel="0" collapsed="false">
      <c r="A58" s="52" t="str">
        <f aca="false">IF(案件マスタ!$B10="","",案件マスタ!$B10)</f>
        <v/>
      </c>
      <c r="B58" s="2"/>
      <c r="C58" s="57" t="str">
        <f aca="false">IF($A58="","",C35-C12)</f>
        <v/>
      </c>
      <c r="D58" s="57" t="str">
        <f aca="false">IF($A58="","",D35-D12)</f>
        <v/>
      </c>
      <c r="E58" s="57" t="str">
        <f aca="false">IF($A58="","",E35-E12)</f>
        <v/>
      </c>
      <c r="F58" s="57" t="str">
        <f aca="false">IF($A58="","",F35-F12)</f>
        <v/>
      </c>
      <c r="G58" s="57" t="str">
        <f aca="false">IF($A58="","",G35-G12)</f>
        <v/>
      </c>
      <c r="H58" s="57" t="str">
        <f aca="false">IF($A58="","",H35-H12)</f>
        <v/>
      </c>
      <c r="I58" s="57" t="str">
        <f aca="false">IF($A58="","",I35-I12)</f>
        <v/>
      </c>
      <c r="J58" s="57" t="str">
        <f aca="false">IF($A58="","",J35-J12)</f>
        <v/>
      </c>
      <c r="K58" s="57" t="str">
        <f aca="false">IF($A58="","",K35-K12)</f>
        <v/>
      </c>
      <c r="L58" s="57" t="str">
        <f aca="false">IF($A58="","",L35-L12)</f>
        <v/>
      </c>
      <c r="M58" s="57" t="str">
        <f aca="false">IF($A58="","",M35-M12)</f>
        <v/>
      </c>
      <c r="N58" s="57" t="str">
        <f aca="false">IF($A58="","",N35-N12)</f>
        <v/>
      </c>
      <c r="O58" s="2"/>
      <c r="P58" s="2"/>
    </row>
    <row r="59" customFormat="false" ht="15" hidden="false" customHeight="false" outlineLevel="0" collapsed="false">
      <c r="A59" s="52" t="str">
        <f aca="false">IF(案件マスタ!$B11="","",案件マスタ!$B11)</f>
        <v/>
      </c>
      <c r="B59" s="2"/>
      <c r="C59" s="57" t="str">
        <f aca="false">IF($A59="","",C36-C13)</f>
        <v/>
      </c>
      <c r="D59" s="57" t="str">
        <f aca="false">IF($A59="","",D36-D13)</f>
        <v/>
      </c>
      <c r="E59" s="57" t="str">
        <f aca="false">IF($A59="","",E36-E13)</f>
        <v/>
      </c>
      <c r="F59" s="57" t="str">
        <f aca="false">IF($A59="","",F36-F13)</f>
        <v/>
      </c>
      <c r="G59" s="57" t="str">
        <f aca="false">IF($A59="","",G36-G13)</f>
        <v/>
      </c>
      <c r="H59" s="57" t="str">
        <f aca="false">IF($A59="","",H36-H13)</f>
        <v/>
      </c>
      <c r="I59" s="57" t="str">
        <f aca="false">IF($A59="","",I36-I13)</f>
        <v/>
      </c>
      <c r="J59" s="57" t="str">
        <f aca="false">IF($A59="","",J36-J13)</f>
        <v/>
      </c>
      <c r="K59" s="57" t="str">
        <f aca="false">IF($A59="","",K36-K13)</f>
        <v/>
      </c>
      <c r="L59" s="57" t="str">
        <f aca="false">IF($A59="","",L36-L13)</f>
        <v/>
      </c>
      <c r="M59" s="57" t="str">
        <f aca="false">IF($A59="","",M36-M13)</f>
        <v/>
      </c>
      <c r="N59" s="57" t="str">
        <f aca="false">IF($A59="","",N36-N13)</f>
        <v/>
      </c>
      <c r="O59" s="2"/>
      <c r="P59" s="2"/>
    </row>
    <row r="60" customFormat="false" ht="15" hidden="false" customHeight="false" outlineLevel="0" collapsed="false">
      <c r="A60" s="52" t="str">
        <f aca="false">IF(案件マスタ!$B12="","",案件マスタ!$B12)</f>
        <v/>
      </c>
      <c r="B60" s="2"/>
      <c r="C60" s="57" t="str">
        <f aca="false">IF($A60="","",C37-C14)</f>
        <v/>
      </c>
      <c r="D60" s="57" t="str">
        <f aca="false">IF($A60="","",D37-D14)</f>
        <v/>
      </c>
      <c r="E60" s="57" t="str">
        <f aca="false">IF($A60="","",E37-E14)</f>
        <v/>
      </c>
      <c r="F60" s="57" t="str">
        <f aca="false">IF($A60="","",F37-F14)</f>
        <v/>
      </c>
      <c r="G60" s="57" t="str">
        <f aca="false">IF($A60="","",G37-G14)</f>
        <v/>
      </c>
      <c r="H60" s="57" t="str">
        <f aca="false">IF($A60="","",H37-H14)</f>
        <v/>
      </c>
      <c r="I60" s="57" t="str">
        <f aca="false">IF($A60="","",I37-I14)</f>
        <v/>
      </c>
      <c r="J60" s="57" t="str">
        <f aca="false">IF($A60="","",J37-J14)</f>
        <v/>
      </c>
      <c r="K60" s="57" t="str">
        <f aca="false">IF($A60="","",K37-K14)</f>
        <v/>
      </c>
      <c r="L60" s="57" t="str">
        <f aca="false">IF($A60="","",L37-L14)</f>
        <v/>
      </c>
      <c r="M60" s="57" t="str">
        <f aca="false">IF($A60="","",M37-M14)</f>
        <v/>
      </c>
      <c r="N60" s="57" t="str">
        <f aca="false">IF($A60="","",N37-N14)</f>
        <v/>
      </c>
      <c r="O60" s="2"/>
      <c r="P60" s="2"/>
    </row>
    <row r="61" customFormat="false" ht="15" hidden="false" customHeight="false" outlineLevel="0" collapsed="false">
      <c r="A61" s="52" t="str">
        <f aca="false">IF(案件マスタ!$B13="","",案件マスタ!$B13)</f>
        <v/>
      </c>
      <c r="B61" s="2"/>
      <c r="C61" s="57" t="str">
        <f aca="false">IF($A61="","",C38-C15)</f>
        <v/>
      </c>
      <c r="D61" s="57" t="str">
        <f aca="false">IF($A61="","",D38-D15)</f>
        <v/>
      </c>
      <c r="E61" s="57" t="str">
        <f aca="false">IF($A61="","",E38-E15)</f>
        <v/>
      </c>
      <c r="F61" s="57" t="str">
        <f aca="false">IF($A61="","",F38-F15)</f>
        <v/>
      </c>
      <c r="G61" s="57" t="str">
        <f aca="false">IF($A61="","",G38-G15)</f>
        <v/>
      </c>
      <c r="H61" s="57" t="str">
        <f aca="false">IF($A61="","",H38-H15)</f>
        <v/>
      </c>
      <c r="I61" s="57" t="str">
        <f aca="false">IF($A61="","",I38-I15)</f>
        <v/>
      </c>
      <c r="J61" s="57" t="str">
        <f aca="false">IF($A61="","",J38-J15)</f>
        <v/>
      </c>
      <c r="K61" s="57" t="str">
        <f aca="false">IF($A61="","",K38-K15)</f>
        <v/>
      </c>
      <c r="L61" s="57" t="str">
        <f aca="false">IF($A61="","",L38-L15)</f>
        <v/>
      </c>
      <c r="M61" s="57" t="str">
        <f aca="false">IF($A61="","",M38-M15)</f>
        <v/>
      </c>
      <c r="N61" s="57" t="str">
        <f aca="false">IF($A61="","",N38-N15)</f>
        <v/>
      </c>
      <c r="O61" s="2"/>
      <c r="P61" s="2"/>
    </row>
    <row r="62" customFormat="false" ht="15" hidden="false" customHeight="false" outlineLevel="0" collapsed="false">
      <c r="A62" s="52" t="str">
        <f aca="false">IF(案件マスタ!$B14="","",案件マスタ!$B14)</f>
        <v/>
      </c>
      <c r="B62" s="2"/>
      <c r="C62" s="57" t="str">
        <f aca="false">IF($A62="","",C39-C16)</f>
        <v/>
      </c>
      <c r="D62" s="57" t="str">
        <f aca="false">IF($A62="","",D39-D16)</f>
        <v/>
      </c>
      <c r="E62" s="57" t="str">
        <f aca="false">IF($A62="","",E39-E16)</f>
        <v/>
      </c>
      <c r="F62" s="57" t="str">
        <f aca="false">IF($A62="","",F39-F16)</f>
        <v/>
      </c>
      <c r="G62" s="57" t="str">
        <f aca="false">IF($A62="","",G39-G16)</f>
        <v/>
      </c>
      <c r="H62" s="57" t="str">
        <f aca="false">IF($A62="","",H39-H16)</f>
        <v/>
      </c>
      <c r="I62" s="57" t="str">
        <f aca="false">IF($A62="","",I39-I16)</f>
        <v/>
      </c>
      <c r="J62" s="57" t="str">
        <f aca="false">IF($A62="","",J39-J16)</f>
        <v/>
      </c>
      <c r="K62" s="57" t="str">
        <f aca="false">IF($A62="","",K39-K16)</f>
        <v/>
      </c>
      <c r="L62" s="57" t="str">
        <f aca="false">IF($A62="","",L39-L16)</f>
        <v/>
      </c>
      <c r="M62" s="57" t="str">
        <f aca="false">IF($A62="","",M39-M16)</f>
        <v/>
      </c>
      <c r="N62" s="57" t="str">
        <f aca="false">IF($A62="","",N39-N16)</f>
        <v/>
      </c>
      <c r="O62" s="2"/>
      <c r="P62" s="2"/>
    </row>
    <row r="63" customFormat="false" ht="15" hidden="false" customHeight="false" outlineLevel="0" collapsed="false">
      <c r="A63" s="52" t="str">
        <f aca="false">IF(案件マスタ!$B15="","",案件マスタ!$B15)</f>
        <v/>
      </c>
      <c r="B63" s="2"/>
      <c r="C63" s="57" t="str">
        <f aca="false">IF($A63="","",C40-C17)</f>
        <v/>
      </c>
      <c r="D63" s="57" t="str">
        <f aca="false">IF($A63="","",D40-D17)</f>
        <v/>
      </c>
      <c r="E63" s="57" t="str">
        <f aca="false">IF($A63="","",E40-E17)</f>
        <v/>
      </c>
      <c r="F63" s="57" t="str">
        <f aca="false">IF($A63="","",F40-F17)</f>
        <v/>
      </c>
      <c r="G63" s="57" t="str">
        <f aca="false">IF($A63="","",G40-G17)</f>
        <v/>
      </c>
      <c r="H63" s="57" t="str">
        <f aca="false">IF($A63="","",H40-H17)</f>
        <v/>
      </c>
      <c r="I63" s="57" t="str">
        <f aca="false">IF($A63="","",I40-I17)</f>
        <v/>
      </c>
      <c r="J63" s="57" t="str">
        <f aca="false">IF($A63="","",J40-J17)</f>
        <v/>
      </c>
      <c r="K63" s="57" t="str">
        <f aca="false">IF($A63="","",K40-K17)</f>
        <v/>
      </c>
      <c r="L63" s="57" t="str">
        <f aca="false">IF($A63="","",L40-L17)</f>
        <v/>
      </c>
      <c r="M63" s="57" t="str">
        <f aca="false">IF($A63="","",M40-M17)</f>
        <v/>
      </c>
      <c r="N63" s="57" t="str">
        <f aca="false">IF($A63="","",N40-N17)</f>
        <v/>
      </c>
      <c r="O63" s="2"/>
      <c r="P63" s="2"/>
    </row>
    <row r="64" customFormat="false" ht="15" hidden="false" customHeight="false" outlineLevel="0" collapsed="false">
      <c r="A64" s="52" t="str">
        <f aca="false">IF(案件マスタ!$B16="","",案件マスタ!$B16)</f>
        <v/>
      </c>
      <c r="B64" s="2"/>
      <c r="C64" s="57" t="str">
        <f aca="false">IF($A64="","",C41-C18)</f>
        <v/>
      </c>
      <c r="D64" s="57" t="str">
        <f aca="false">IF($A64="","",D41-D18)</f>
        <v/>
      </c>
      <c r="E64" s="57" t="str">
        <f aca="false">IF($A64="","",E41-E18)</f>
        <v/>
      </c>
      <c r="F64" s="57" t="str">
        <f aca="false">IF($A64="","",F41-F18)</f>
        <v/>
      </c>
      <c r="G64" s="57" t="str">
        <f aca="false">IF($A64="","",G41-G18)</f>
        <v/>
      </c>
      <c r="H64" s="57" t="str">
        <f aca="false">IF($A64="","",H41-H18)</f>
        <v/>
      </c>
      <c r="I64" s="57" t="str">
        <f aca="false">IF($A64="","",I41-I18)</f>
        <v/>
      </c>
      <c r="J64" s="57" t="str">
        <f aca="false">IF($A64="","",J41-J18)</f>
        <v/>
      </c>
      <c r="K64" s="57" t="str">
        <f aca="false">IF($A64="","",K41-K18)</f>
        <v/>
      </c>
      <c r="L64" s="57" t="str">
        <f aca="false">IF($A64="","",L41-L18)</f>
        <v/>
      </c>
      <c r="M64" s="57" t="str">
        <f aca="false">IF($A64="","",M41-M18)</f>
        <v/>
      </c>
      <c r="N64" s="57" t="str">
        <f aca="false">IF($A64="","",N41-N18)</f>
        <v/>
      </c>
      <c r="O64" s="2"/>
      <c r="P64" s="2"/>
    </row>
    <row r="65" customFormat="false" ht="15" hidden="false" customHeight="false" outlineLevel="0" collapsed="false">
      <c r="A65" s="52" t="str">
        <f aca="false">IF(案件マスタ!$B17="","",案件マスタ!$B17)</f>
        <v/>
      </c>
      <c r="B65" s="2"/>
      <c r="C65" s="57" t="str">
        <f aca="false">IF($A65="","",C42-C19)</f>
        <v/>
      </c>
      <c r="D65" s="57" t="str">
        <f aca="false">IF($A65="","",D42-D19)</f>
        <v/>
      </c>
      <c r="E65" s="57" t="str">
        <f aca="false">IF($A65="","",E42-E19)</f>
        <v/>
      </c>
      <c r="F65" s="57" t="str">
        <f aca="false">IF($A65="","",F42-F19)</f>
        <v/>
      </c>
      <c r="G65" s="57" t="str">
        <f aca="false">IF($A65="","",G42-G19)</f>
        <v/>
      </c>
      <c r="H65" s="57" t="str">
        <f aca="false">IF($A65="","",H42-H19)</f>
        <v/>
      </c>
      <c r="I65" s="57" t="str">
        <f aca="false">IF($A65="","",I42-I19)</f>
        <v/>
      </c>
      <c r="J65" s="57" t="str">
        <f aca="false">IF($A65="","",J42-J19)</f>
        <v/>
      </c>
      <c r="K65" s="57" t="str">
        <f aca="false">IF($A65="","",K42-K19)</f>
        <v/>
      </c>
      <c r="L65" s="57" t="str">
        <f aca="false">IF($A65="","",L42-L19)</f>
        <v/>
      </c>
      <c r="M65" s="57" t="str">
        <f aca="false">IF($A65="","",M42-M19)</f>
        <v/>
      </c>
      <c r="N65" s="57" t="str">
        <f aca="false">IF($A65="","",N42-N19)</f>
        <v/>
      </c>
      <c r="O65" s="2"/>
      <c r="P65" s="2"/>
    </row>
    <row r="66" customFormat="false" ht="15" hidden="false" customHeight="false" outlineLevel="0" collapsed="false">
      <c r="A66" s="52" t="str">
        <f aca="false">IF(案件マスタ!$B18="","",案件マスタ!$B18)</f>
        <v/>
      </c>
      <c r="B66" s="2"/>
      <c r="C66" s="57" t="str">
        <f aca="false">IF($A66="","",C43-C20)</f>
        <v/>
      </c>
      <c r="D66" s="57" t="str">
        <f aca="false">IF($A66="","",D43-D20)</f>
        <v/>
      </c>
      <c r="E66" s="57" t="str">
        <f aca="false">IF($A66="","",E43-E20)</f>
        <v/>
      </c>
      <c r="F66" s="57" t="str">
        <f aca="false">IF($A66="","",F43-F20)</f>
        <v/>
      </c>
      <c r="G66" s="57" t="str">
        <f aca="false">IF($A66="","",G43-G20)</f>
        <v/>
      </c>
      <c r="H66" s="57" t="str">
        <f aca="false">IF($A66="","",H43-H20)</f>
        <v/>
      </c>
      <c r="I66" s="57" t="str">
        <f aca="false">IF($A66="","",I43-I20)</f>
        <v/>
      </c>
      <c r="J66" s="57" t="str">
        <f aca="false">IF($A66="","",J43-J20)</f>
        <v/>
      </c>
      <c r="K66" s="57" t="str">
        <f aca="false">IF($A66="","",K43-K20)</f>
        <v/>
      </c>
      <c r="L66" s="57" t="str">
        <f aca="false">IF($A66="","",L43-L20)</f>
        <v/>
      </c>
      <c r="M66" s="57" t="str">
        <f aca="false">IF($A66="","",M43-M20)</f>
        <v/>
      </c>
      <c r="N66" s="57" t="str">
        <f aca="false">IF($A66="","",N43-N20)</f>
        <v/>
      </c>
      <c r="O66" s="2"/>
      <c r="P66" s="2"/>
    </row>
    <row r="67" customFormat="false" ht="15" hidden="false" customHeight="false" outlineLevel="0" collapsed="false">
      <c r="A67" s="52" t="str">
        <f aca="false">IF(案件マスタ!$B19="","",案件マスタ!$B19)</f>
        <v/>
      </c>
      <c r="B67" s="2"/>
      <c r="C67" s="57" t="str">
        <f aca="false">IF($A67="","",C44-C21)</f>
        <v/>
      </c>
      <c r="D67" s="57" t="str">
        <f aca="false">IF($A67="","",D44-D21)</f>
        <v/>
      </c>
      <c r="E67" s="57" t="str">
        <f aca="false">IF($A67="","",E44-E21)</f>
        <v/>
      </c>
      <c r="F67" s="57" t="str">
        <f aca="false">IF($A67="","",F44-F21)</f>
        <v/>
      </c>
      <c r="G67" s="57" t="str">
        <f aca="false">IF($A67="","",G44-G21)</f>
        <v/>
      </c>
      <c r="H67" s="57" t="str">
        <f aca="false">IF($A67="","",H44-H21)</f>
        <v/>
      </c>
      <c r="I67" s="57" t="str">
        <f aca="false">IF($A67="","",I44-I21)</f>
        <v/>
      </c>
      <c r="J67" s="57" t="str">
        <f aca="false">IF($A67="","",J44-J21)</f>
        <v/>
      </c>
      <c r="K67" s="57" t="str">
        <f aca="false">IF($A67="","",K44-K21)</f>
        <v/>
      </c>
      <c r="L67" s="57" t="str">
        <f aca="false">IF($A67="","",L44-L21)</f>
        <v/>
      </c>
      <c r="M67" s="57" t="str">
        <f aca="false">IF($A67="","",M44-M21)</f>
        <v/>
      </c>
      <c r="N67" s="57" t="str">
        <f aca="false">IF($A67="","",N44-N21)</f>
        <v/>
      </c>
      <c r="O67" s="2"/>
      <c r="P67" s="2"/>
    </row>
    <row r="68" customFormat="false" ht="15" hidden="false" customHeight="false" outlineLevel="0" collapsed="false">
      <c r="A68" s="52" t="str">
        <f aca="false">IF(案件マスタ!$B20="","",案件マスタ!$B20)</f>
        <v/>
      </c>
      <c r="B68" s="2"/>
      <c r="C68" s="57" t="str">
        <f aca="false">IF($A68="","",C45-C22)</f>
        <v/>
      </c>
      <c r="D68" s="57" t="str">
        <f aca="false">IF($A68="","",D45-D22)</f>
        <v/>
      </c>
      <c r="E68" s="57" t="str">
        <f aca="false">IF($A68="","",E45-E22)</f>
        <v/>
      </c>
      <c r="F68" s="57" t="str">
        <f aca="false">IF($A68="","",F45-F22)</f>
        <v/>
      </c>
      <c r="G68" s="57" t="str">
        <f aca="false">IF($A68="","",G45-G22)</f>
        <v/>
      </c>
      <c r="H68" s="57" t="str">
        <f aca="false">IF($A68="","",H45-H22)</f>
        <v/>
      </c>
      <c r="I68" s="57" t="str">
        <f aca="false">IF($A68="","",I45-I22)</f>
        <v/>
      </c>
      <c r="J68" s="57" t="str">
        <f aca="false">IF($A68="","",J45-J22)</f>
        <v/>
      </c>
      <c r="K68" s="57" t="str">
        <f aca="false">IF($A68="","",K45-K22)</f>
        <v/>
      </c>
      <c r="L68" s="57" t="str">
        <f aca="false">IF($A68="","",L45-L22)</f>
        <v/>
      </c>
      <c r="M68" s="57" t="str">
        <f aca="false">IF($A68="","",M45-M22)</f>
        <v/>
      </c>
      <c r="N68" s="57" t="str">
        <f aca="false">IF($A68="","",N45-N22)</f>
        <v/>
      </c>
      <c r="O68" s="2"/>
      <c r="P68" s="2"/>
    </row>
    <row r="69" customFormat="false" ht="15" hidden="false" customHeight="false" outlineLevel="0" collapsed="false">
      <c r="A69" s="52" t="str">
        <f aca="false">IF(案件マスタ!$B21="","",案件マスタ!$B21)</f>
        <v/>
      </c>
      <c r="B69" s="2"/>
      <c r="C69" s="57" t="str">
        <f aca="false">IF($A69="","",C46-C23)</f>
        <v/>
      </c>
      <c r="D69" s="57" t="str">
        <f aca="false">IF($A69="","",D46-D23)</f>
        <v/>
      </c>
      <c r="E69" s="57" t="str">
        <f aca="false">IF($A69="","",E46-E23)</f>
        <v/>
      </c>
      <c r="F69" s="57" t="str">
        <f aca="false">IF($A69="","",F46-F23)</f>
        <v/>
      </c>
      <c r="G69" s="57" t="str">
        <f aca="false">IF($A69="","",G46-G23)</f>
        <v/>
      </c>
      <c r="H69" s="57" t="str">
        <f aca="false">IF($A69="","",H46-H23)</f>
        <v/>
      </c>
      <c r="I69" s="57" t="str">
        <f aca="false">IF($A69="","",I46-I23)</f>
        <v/>
      </c>
      <c r="J69" s="57" t="str">
        <f aca="false">IF($A69="","",J46-J23)</f>
        <v/>
      </c>
      <c r="K69" s="57" t="str">
        <f aca="false">IF($A69="","",K46-K23)</f>
        <v/>
      </c>
      <c r="L69" s="57" t="str">
        <f aca="false">IF($A69="","",L46-L23)</f>
        <v/>
      </c>
      <c r="M69" s="57" t="str">
        <f aca="false">IF($A69="","",M46-M23)</f>
        <v/>
      </c>
      <c r="N69" s="57" t="str">
        <f aca="false">IF($A69="","",N46-N23)</f>
        <v/>
      </c>
      <c r="O69" s="2"/>
      <c r="P69" s="2"/>
    </row>
    <row r="70" customFormat="false" ht="15" hidden="false" customHeight="false" outlineLevel="0" collapsed="false">
      <c r="A70" s="52" t="str">
        <f aca="false">IF(案件マスタ!$B22="","",案件マスタ!$B22)</f>
        <v/>
      </c>
      <c r="B70" s="2"/>
      <c r="C70" s="57" t="str">
        <f aca="false">IF($A70="","",C47-C24)</f>
        <v/>
      </c>
      <c r="D70" s="57" t="str">
        <f aca="false">IF($A70="","",D47-D24)</f>
        <v/>
      </c>
      <c r="E70" s="57" t="str">
        <f aca="false">IF($A70="","",E47-E24)</f>
        <v/>
      </c>
      <c r="F70" s="57" t="str">
        <f aca="false">IF($A70="","",F47-F24)</f>
        <v/>
      </c>
      <c r="G70" s="57" t="str">
        <f aca="false">IF($A70="","",G47-G24)</f>
        <v/>
      </c>
      <c r="H70" s="57" t="str">
        <f aca="false">IF($A70="","",H47-H24)</f>
        <v/>
      </c>
      <c r="I70" s="57" t="str">
        <f aca="false">IF($A70="","",I47-I24)</f>
        <v/>
      </c>
      <c r="J70" s="57" t="str">
        <f aca="false">IF($A70="","",J47-J24)</f>
        <v/>
      </c>
      <c r="K70" s="57" t="str">
        <f aca="false">IF($A70="","",K47-K24)</f>
        <v/>
      </c>
      <c r="L70" s="57" t="str">
        <f aca="false">IF($A70="","",L47-L24)</f>
        <v/>
      </c>
      <c r="M70" s="57" t="str">
        <f aca="false">IF($A70="","",M47-M24)</f>
        <v/>
      </c>
      <c r="N70" s="57" t="str">
        <f aca="false">IF($A70="","",N47-N24)</f>
        <v/>
      </c>
      <c r="O70" s="2"/>
      <c r="P70" s="2"/>
    </row>
    <row r="71" customFormat="false" ht="15" hidden="false" customHeight="false" outlineLevel="0" collapsed="false">
      <c r="A71" s="52" t="str">
        <f aca="false">IF(案件マスタ!$B23="","",案件マスタ!$B23)</f>
        <v/>
      </c>
      <c r="B71" s="2"/>
      <c r="C71" s="57" t="str">
        <f aca="false">IF($A71="","",C48-C25)</f>
        <v/>
      </c>
      <c r="D71" s="57" t="str">
        <f aca="false">IF($A71="","",D48-D25)</f>
        <v/>
      </c>
      <c r="E71" s="57" t="str">
        <f aca="false">IF($A71="","",E48-E25)</f>
        <v/>
      </c>
      <c r="F71" s="57" t="str">
        <f aca="false">IF($A71="","",F48-F25)</f>
        <v/>
      </c>
      <c r="G71" s="57" t="str">
        <f aca="false">IF($A71="","",G48-G25)</f>
        <v/>
      </c>
      <c r="H71" s="57" t="str">
        <f aca="false">IF($A71="","",H48-H25)</f>
        <v/>
      </c>
      <c r="I71" s="57" t="str">
        <f aca="false">IF($A71="","",I48-I25)</f>
        <v/>
      </c>
      <c r="J71" s="57" t="str">
        <f aca="false">IF($A71="","",J48-J25)</f>
        <v/>
      </c>
      <c r="K71" s="57" t="str">
        <f aca="false">IF($A71="","",K48-K25)</f>
        <v/>
      </c>
      <c r="L71" s="57" t="str">
        <f aca="false">IF($A71="","",L48-L25)</f>
        <v/>
      </c>
      <c r="M71" s="57" t="str">
        <f aca="false">IF($A71="","",M48-M25)</f>
        <v/>
      </c>
      <c r="N71" s="57" t="str">
        <f aca="false">IF($A71="","",N48-N25)</f>
        <v/>
      </c>
      <c r="O71" s="2"/>
      <c r="P71" s="2"/>
    </row>
    <row r="72" customFormat="false" ht="15" hidden="false" customHeight="false" outlineLevel="0" collapsed="false">
      <c r="A72" s="54" t="s">
        <v>54</v>
      </c>
      <c r="B72" s="2"/>
      <c r="C72" s="55" t="n">
        <f aca="false">SUM(C52:C71)</f>
        <v>-67</v>
      </c>
      <c r="D72" s="55" t="n">
        <f aca="false">SUM(D52:D71)</f>
        <v>0</v>
      </c>
      <c r="E72" s="55" t="n">
        <f aca="false">SUM(E52:E71)</f>
        <v>0</v>
      </c>
      <c r="F72" s="55" t="n">
        <f aca="false">SUM(F52:F71)</f>
        <v>0</v>
      </c>
      <c r="G72" s="55" t="n">
        <f aca="false">SUM(G52:G71)</f>
        <v>0</v>
      </c>
      <c r="H72" s="55" t="n">
        <f aca="false">SUM(H52:H71)</f>
        <v>0</v>
      </c>
      <c r="I72" s="55" t="n">
        <f aca="false">SUM(I52:I71)</f>
        <v>0</v>
      </c>
      <c r="J72" s="55" t="n">
        <f aca="false">SUM(J52:J71)</f>
        <v>0</v>
      </c>
      <c r="K72" s="55" t="n">
        <f aca="false">SUM(K52:K71)</f>
        <v>0</v>
      </c>
      <c r="L72" s="55" t="n">
        <f aca="false">SUM(L52:L71)</f>
        <v>0</v>
      </c>
      <c r="M72" s="55" t="n">
        <f aca="false">SUM(M52:M71)</f>
        <v>0</v>
      </c>
      <c r="N72" s="55" t="n">
        <f aca="false">SUM(N52:N71)</f>
        <v>0</v>
      </c>
      <c r="O72" s="2"/>
      <c r="P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customFormat="false" ht="15" hidden="false" customHeight="false" outlineLevel="0" collapsed="false">
      <c r="A75" s="5" t="s">
        <v>80</v>
      </c>
      <c r="B75" s="2"/>
      <c r="C75" s="51" t="n">
        <f aca="false">EDATE($C$3,0)</f>
        <v>46266</v>
      </c>
      <c r="D75" s="51" t="n">
        <f aca="false">EDATE($C$3,1)</f>
        <v>46296</v>
      </c>
      <c r="E75" s="51" t="n">
        <f aca="false">EDATE($C$3,2)</f>
        <v>46327</v>
      </c>
      <c r="F75" s="51" t="n">
        <f aca="false">EDATE($C$3,3)</f>
        <v>46357</v>
      </c>
      <c r="G75" s="51" t="n">
        <f aca="false">EDATE($C$3,4)</f>
        <v>46388</v>
      </c>
      <c r="H75" s="51" t="n">
        <f aca="false">EDATE($C$3,5)</f>
        <v>46419</v>
      </c>
      <c r="I75" s="51" t="n">
        <f aca="false">EDATE($C$3,6)</f>
        <v>46447</v>
      </c>
      <c r="J75" s="51" t="n">
        <f aca="false">EDATE($C$3,7)</f>
        <v>46478</v>
      </c>
      <c r="K75" s="51" t="n">
        <f aca="false">EDATE($C$3,8)</f>
        <v>46508</v>
      </c>
      <c r="L75" s="51" t="n">
        <f aca="false">EDATE($C$3,9)</f>
        <v>46539</v>
      </c>
      <c r="M75" s="51" t="n">
        <f aca="false">EDATE($C$3,10)</f>
        <v>46569</v>
      </c>
      <c r="N75" s="51" t="n">
        <f aca="false">EDATE($C$3,11)</f>
        <v>46600</v>
      </c>
      <c r="O75" s="2"/>
      <c r="P75" s="2"/>
    </row>
    <row r="76" customFormat="false" ht="15" hidden="false" customHeight="false" outlineLevel="0" collapsed="false">
      <c r="A76" s="52" t="str">
        <f aca="false">IF(設定!$A$4="","",設定!$A$4)</f>
        <v>新人A</v>
      </c>
      <c r="B76" s="2"/>
      <c r="C76" s="56" t="n">
        <f aca="false">IF($A76="","",SUMIFS(工数ログ!$E$4:$E$1003,工数ログ!$B$4:$B$1003,$A76,工数ログ!$A$4:$A$1003,"&gt;="&amp;C$75,工数ログ!$A$4:$A$1003,"&lt;"&amp;EDATE(C$75,1)))</f>
        <v>7.5</v>
      </c>
      <c r="D76" s="56" t="n">
        <f aca="false">IF($A76="","",SUMIFS(工数ログ!$E$4:$E$1003,工数ログ!$B$4:$B$1003,$A76,工数ログ!$A$4:$A$1003,"&gt;="&amp;D$75,工数ログ!$A$4:$A$1003,"&lt;"&amp;EDATE(D$75,1)))</f>
        <v>0</v>
      </c>
      <c r="E76" s="56" t="n">
        <f aca="false">IF($A76="","",SUMIFS(工数ログ!$E$4:$E$1003,工数ログ!$B$4:$B$1003,$A76,工数ログ!$A$4:$A$1003,"&gt;="&amp;E$75,工数ログ!$A$4:$A$1003,"&lt;"&amp;EDATE(E$75,1)))</f>
        <v>0</v>
      </c>
      <c r="F76" s="56" t="n">
        <f aca="false">IF($A76="","",SUMIFS(工数ログ!$E$4:$E$1003,工数ログ!$B$4:$B$1003,$A76,工数ログ!$A$4:$A$1003,"&gt;="&amp;F$75,工数ログ!$A$4:$A$1003,"&lt;"&amp;EDATE(F$75,1)))</f>
        <v>0</v>
      </c>
      <c r="G76" s="56" t="n">
        <f aca="false">IF($A76="","",SUMIFS(工数ログ!$E$4:$E$1003,工数ログ!$B$4:$B$1003,$A76,工数ログ!$A$4:$A$1003,"&gt;="&amp;G$75,工数ログ!$A$4:$A$1003,"&lt;"&amp;EDATE(G$75,1)))</f>
        <v>0</v>
      </c>
      <c r="H76" s="56" t="n">
        <f aca="false">IF($A76="","",SUMIFS(工数ログ!$E$4:$E$1003,工数ログ!$B$4:$B$1003,$A76,工数ログ!$A$4:$A$1003,"&gt;="&amp;H$75,工数ログ!$A$4:$A$1003,"&lt;"&amp;EDATE(H$75,1)))</f>
        <v>0</v>
      </c>
      <c r="I76" s="56" t="n">
        <f aca="false">IF($A76="","",SUMIFS(工数ログ!$E$4:$E$1003,工数ログ!$B$4:$B$1003,$A76,工数ログ!$A$4:$A$1003,"&gt;="&amp;I$75,工数ログ!$A$4:$A$1003,"&lt;"&amp;EDATE(I$75,1)))</f>
        <v>0</v>
      </c>
      <c r="J76" s="56" t="n">
        <f aca="false">IF($A76="","",SUMIFS(工数ログ!$E$4:$E$1003,工数ログ!$B$4:$B$1003,$A76,工数ログ!$A$4:$A$1003,"&gt;="&amp;J$75,工数ログ!$A$4:$A$1003,"&lt;"&amp;EDATE(J$75,1)))</f>
        <v>0</v>
      </c>
      <c r="K76" s="56" t="n">
        <f aca="false">IF($A76="","",SUMIFS(工数ログ!$E$4:$E$1003,工数ログ!$B$4:$B$1003,$A76,工数ログ!$A$4:$A$1003,"&gt;="&amp;K$75,工数ログ!$A$4:$A$1003,"&lt;"&amp;EDATE(K$75,1)))</f>
        <v>0</v>
      </c>
      <c r="L76" s="56" t="n">
        <f aca="false">IF($A76="","",SUMIFS(工数ログ!$E$4:$E$1003,工数ログ!$B$4:$B$1003,$A76,工数ログ!$A$4:$A$1003,"&gt;="&amp;L$75,工数ログ!$A$4:$A$1003,"&lt;"&amp;EDATE(L$75,1)))</f>
        <v>0</v>
      </c>
      <c r="M76" s="56" t="n">
        <f aca="false">IF($A76="","",SUMIFS(工数ログ!$E$4:$E$1003,工数ログ!$B$4:$B$1003,$A76,工数ログ!$A$4:$A$1003,"&gt;="&amp;M$75,工数ログ!$A$4:$A$1003,"&lt;"&amp;EDATE(M$75,1)))</f>
        <v>0</v>
      </c>
      <c r="N76" s="56" t="n">
        <f aca="false">IF($A76="","",SUMIFS(工数ログ!$E$4:$E$1003,工数ログ!$B$4:$B$1003,$A76,工数ログ!$A$4:$A$1003,"&gt;="&amp;N$75,工数ログ!$A$4:$A$1003,"&lt;"&amp;EDATE(N$75,1)))</f>
        <v>0</v>
      </c>
      <c r="O76" s="2"/>
      <c r="P76" s="2"/>
    </row>
    <row r="77" customFormat="false" ht="15" hidden="false" customHeight="false" outlineLevel="0" collapsed="false">
      <c r="A77" s="52" t="str">
        <f aca="false">IF(設定!$A$5="","",設定!$A$5)</f>
        <v>新人B</v>
      </c>
      <c r="B77" s="2"/>
      <c r="C77" s="56" t="n">
        <f aca="false">IF($A77="","",SUMIFS(工数ログ!$E$4:$E$1003,工数ログ!$B$4:$B$1003,$A77,工数ログ!$A$4:$A$1003,"&gt;="&amp;C$75,工数ログ!$A$4:$A$1003,"&lt;"&amp;EDATE(C$75,1)))</f>
        <v>5.5</v>
      </c>
      <c r="D77" s="56" t="n">
        <f aca="false">IF($A77="","",SUMIFS(工数ログ!$E$4:$E$1003,工数ログ!$B$4:$B$1003,$A77,工数ログ!$A$4:$A$1003,"&gt;="&amp;D$75,工数ログ!$A$4:$A$1003,"&lt;"&amp;EDATE(D$75,1)))</f>
        <v>0</v>
      </c>
      <c r="E77" s="56" t="n">
        <f aca="false">IF($A77="","",SUMIFS(工数ログ!$E$4:$E$1003,工数ログ!$B$4:$B$1003,$A77,工数ログ!$A$4:$A$1003,"&gt;="&amp;E$75,工数ログ!$A$4:$A$1003,"&lt;"&amp;EDATE(E$75,1)))</f>
        <v>0</v>
      </c>
      <c r="F77" s="56" t="n">
        <f aca="false">IF($A77="","",SUMIFS(工数ログ!$E$4:$E$1003,工数ログ!$B$4:$B$1003,$A77,工数ログ!$A$4:$A$1003,"&gt;="&amp;F$75,工数ログ!$A$4:$A$1003,"&lt;"&amp;EDATE(F$75,1)))</f>
        <v>0</v>
      </c>
      <c r="G77" s="56" t="n">
        <f aca="false">IF($A77="","",SUMIFS(工数ログ!$E$4:$E$1003,工数ログ!$B$4:$B$1003,$A77,工数ログ!$A$4:$A$1003,"&gt;="&amp;G$75,工数ログ!$A$4:$A$1003,"&lt;"&amp;EDATE(G$75,1)))</f>
        <v>0</v>
      </c>
      <c r="H77" s="56" t="n">
        <f aca="false">IF($A77="","",SUMIFS(工数ログ!$E$4:$E$1003,工数ログ!$B$4:$B$1003,$A77,工数ログ!$A$4:$A$1003,"&gt;="&amp;H$75,工数ログ!$A$4:$A$1003,"&lt;"&amp;EDATE(H$75,1)))</f>
        <v>0</v>
      </c>
      <c r="I77" s="56" t="n">
        <f aca="false">IF($A77="","",SUMIFS(工数ログ!$E$4:$E$1003,工数ログ!$B$4:$B$1003,$A77,工数ログ!$A$4:$A$1003,"&gt;="&amp;I$75,工数ログ!$A$4:$A$1003,"&lt;"&amp;EDATE(I$75,1)))</f>
        <v>0</v>
      </c>
      <c r="J77" s="56" t="n">
        <f aca="false">IF($A77="","",SUMIFS(工数ログ!$E$4:$E$1003,工数ログ!$B$4:$B$1003,$A77,工数ログ!$A$4:$A$1003,"&gt;="&amp;J$75,工数ログ!$A$4:$A$1003,"&lt;"&amp;EDATE(J$75,1)))</f>
        <v>0</v>
      </c>
      <c r="K77" s="56" t="n">
        <f aca="false">IF($A77="","",SUMIFS(工数ログ!$E$4:$E$1003,工数ログ!$B$4:$B$1003,$A77,工数ログ!$A$4:$A$1003,"&gt;="&amp;K$75,工数ログ!$A$4:$A$1003,"&lt;"&amp;EDATE(K$75,1)))</f>
        <v>0</v>
      </c>
      <c r="L77" s="56" t="n">
        <f aca="false">IF($A77="","",SUMIFS(工数ログ!$E$4:$E$1003,工数ログ!$B$4:$B$1003,$A77,工数ログ!$A$4:$A$1003,"&gt;="&amp;L$75,工数ログ!$A$4:$A$1003,"&lt;"&amp;EDATE(L$75,1)))</f>
        <v>0</v>
      </c>
      <c r="M77" s="56" t="n">
        <f aca="false">IF($A77="","",SUMIFS(工数ログ!$E$4:$E$1003,工数ログ!$B$4:$B$1003,$A77,工数ログ!$A$4:$A$1003,"&gt;="&amp;M$75,工数ログ!$A$4:$A$1003,"&lt;"&amp;EDATE(M$75,1)))</f>
        <v>0</v>
      </c>
      <c r="N77" s="56" t="n">
        <f aca="false">IF($A77="","",SUMIFS(工数ログ!$E$4:$E$1003,工数ログ!$B$4:$B$1003,$A77,工数ログ!$A$4:$A$1003,"&gt;="&amp;N$75,工数ログ!$A$4:$A$1003,"&lt;"&amp;EDATE(N$75,1)))</f>
        <v>0</v>
      </c>
      <c r="O77" s="2"/>
      <c r="P77" s="2"/>
    </row>
    <row r="78" customFormat="false" ht="15" hidden="false" customHeight="false" outlineLevel="0" collapsed="false">
      <c r="A78" s="52" t="str">
        <f aca="false">IF(設定!$A$6="","",設定!$A$6)</f>
        <v>メンターX</v>
      </c>
      <c r="B78" s="2"/>
      <c r="C78" s="56" t="n">
        <f aca="false">IF($A78="","",SUMIFS(工数ログ!$E$4:$E$1003,工数ログ!$B$4:$B$1003,$A78,工数ログ!$A$4:$A$1003,"&gt;="&amp;C$75,工数ログ!$A$4:$A$1003,"&lt;"&amp;EDATE(C$75,1)))</f>
        <v>0</v>
      </c>
      <c r="D78" s="56" t="n">
        <f aca="false">IF($A78="","",SUMIFS(工数ログ!$E$4:$E$1003,工数ログ!$B$4:$B$1003,$A78,工数ログ!$A$4:$A$1003,"&gt;="&amp;D$75,工数ログ!$A$4:$A$1003,"&lt;"&amp;EDATE(D$75,1)))</f>
        <v>0</v>
      </c>
      <c r="E78" s="56" t="n">
        <f aca="false">IF($A78="","",SUMIFS(工数ログ!$E$4:$E$1003,工数ログ!$B$4:$B$1003,$A78,工数ログ!$A$4:$A$1003,"&gt;="&amp;E$75,工数ログ!$A$4:$A$1003,"&lt;"&amp;EDATE(E$75,1)))</f>
        <v>0</v>
      </c>
      <c r="F78" s="56" t="n">
        <f aca="false">IF($A78="","",SUMIFS(工数ログ!$E$4:$E$1003,工数ログ!$B$4:$B$1003,$A78,工数ログ!$A$4:$A$1003,"&gt;="&amp;F$75,工数ログ!$A$4:$A$1003,"&lt;"&amp;EDATE(F$75,1)))</f>
        <v>0</v>
      </c>
      <c r="G78" s="56" t="n">
        <f aca="false">IF($A78="","",SUMIFS(工数ログ!$E$4:$E$1003,工数ログ!$B$4:$B$1003,$A78,工数ログ!$A$4:$A$1003,"&gt;="&amp;G$75,工数ログ!$A$4:$A$1003,"&lt;"&amp;EDATE(G$75,1)))</f>
        <v>0</v>
      </c>
      <c r="H78" s="56" t="n">
        <f aca="false">IF($A78="","",SUMIFS(工数ログ!$E$4:$E$1003,工数ログ!$B$4:$B$1003,$A78,工数ログ!$A$4:$A$1003,"&gt;="&amp;H$75,工数ログ!$A$4:$A$1003,"&lt;"&amp;EDATE(H$75,1)))</f>
        <v>0</v>
      </c>
      <c r="I78" s="56" t="n">
        <f aca="false">IF($A78="","",SUMIFS(工数ログ!$E$4:$E$1003,工数ログ!$B$4:$B$1003,$A78,工数ログ!$A$4:$A$1003,"&gt;="&amp;I$75,工数ログ!$A$4:$A$1003,"&lt;"&amp;EDATE(I$75,1)))</f>
        <v>0</v>
      </c>
      <c r="J78" s="56" t="n">
        <f aca="false">IF($A78="","",SUMIFS(工数ログ!$E$4:$E$1003,工数ログ!$B$4:$B$1003,$A78,工数ログ!$A$4:$A$1003,"&gt;="&amp;J$75,工数ログ!$A$4:$A$1003,"&lt;"&amp;EDATE(J$75,1)))</f>
        <v>0</v>
      </c>
      <c r="K78" s="56" t="n">
        <f aca="false">IF($A78="","",SUMIFS(工数ログ!$E$4:$E$1003,工数ログ!$B$4:$B$1003,$A78,工数ログ!$A$4:$A$1003,"&gt;="&amp;K$75,工数ログ!$A$4:$A$1003,"&lt;"&amp;EDATE(K$75,1)))</f>
        <v>0</v>
      </c>
      <c r="L78" s="56" t="n">
        <f aca="false">IF($A78="","",SUMIFS(工数ログ!$E$4:$E$1003,工数ログ!$B$4:$B$1003,$A78,工数ログ!$A$4:$A$1003,"&gt;="&amp;L$75,工数ログ!$A$4:$A$1003,"&lt;"&amp;EDATE(L$75,1)))</f>
        <v>0</v>
      </c>
      <c r="M78" s="56" t="n">
        <f aca="false">IF($A78="","",SUMIFS(工数ログ!$E$4:$E$1003,工数ログ!$B$4:$B$1003,$A78,工数ログ!$A$4:$A$1003,"&gt;="&amp;M$75,工数ログ!$A$4:$A$1003,"&lt;"&amp;EDATE(M$75,1)))</f>
        <v>0</v>
      </c>
      <c r="N78" s="56" t="n">
        <f aca="false">IF($A78="","",SUMIFS(工数ログ!$E$4:$E$1003,工数ログ!$B$4:$B$1003,$A78,工数ログ!$A$4:$A$1003,"&gt;="&amp;N$75,工数ログ!$A$4:$A$1003,"&lt;"&amp;EDATE(N$75,1)))</f>
        <v>0</v>
      </c>
      <c r="O78" s="2"/>
      <c r="P78" s="2"/>
    </row>
    <row r="79" customFormat="false" ht="15" hidden="false" customHeight="false" outlineLevel="0" collapsed="false">
      <c r="A79" s="52" t="str">
        <f aca="false">IF(設定!$A$7="","",設定!$A$7)</f>
        <v>リーダーY</v>
      </c>
      <c r="B79" s="2"/>
      <c r="C79" s="56" t="n">
        <f aca="false">IF($A79="","",SUMIFS(工数ログ!$E$4:$E$1003,工数ログ!$B$4:$B$1003,$A79,工数ログ!$A$4:$A$1003,"&gt;="&amp;C$75,工数ログ!$A$4:$A$1003,"&lt;"&amp;EDATE(C$75,1)))</f>
        <v>0</v>
      </c>
      <c r="D79" s="56" t="n">
        <f aca="false">IF($A79="","",SUMIFS(工数ログ!$E$4:$E$1003,工数ログ!$B$4:$B$1003,$A79,工数ログ!$A$4:$A$1003,"&gt;="&amp;D$75,工数ログ!$A$4:$A$1003,"&lt;"&amp;EDATE(D$75,1)))</f>
        <v>0</v>
      </c>
      <c r="E79" s="56" t="n">
        <f aca="false">IF($A79="","",SUMIFS(工数ログ!$E$4:$E$1003,工数ログ!$B$4:$B$1003,$A79,工数ログ!$A$4:$A$1003,"&gt;="&amp;E$75,工数ログ!$A$4:$A$1003,"&lt;"&amp;EDATE(E$75,1)))</f>
        <v>0</v>
      </c>
      <c r="F79" s="56" t="n">
        <f aca="false">IF($A79="","",SUMIFS(工数ログ!$E$4:$E$1003,工数ログ!$B$4:$B$1003,$A79,工数ログ!$A$4:$A$1003,"&gt;="&amp;F$75,工数ログ!$A$4:$A$1003,"&lt;"&amp;EDATE(F$75,1)))</f>
        <v>0</v>
      </c>
      <c r="G79" s="56" t="n">
        <f aca="false">IF($A79="","",SUMIFS(工数ログ!$E$4:$E$1003,工数ログ!$B$4:$B$1003,$A79,工数ログ!$A$4:$A$1003,"&gt;="&amp;G$75,工数ログ!$A$4:$A$1003,"&lt;"&amp;EDATE(G$75,1)))</f>
        <v>0</v>
      </c>
      <c r="H79" s="56" t="n">
        <f aca="false">IF($A79="","",SUMIFS(工数ログ!$E$4:$E$1003,工数ログ!$B$4:$B$1003,$A79,工数ログ!$A$4:$A$1003,"&gt;="&amp;H$75,工数ログ!$A$4:$A$1003,"&lt;"&amp;EDATE(H$75,1)))</f>
        <v>0</v>
      </c>
      <c r="I79" s="56" t="n">
        <f aca="false">IF($A79="","",SUMIFS(工数ログ!$E$4:$E$1003,工数ログ!$B$4:$B$1003,$A79,工数ログ!$A$4:$A$1003,"&gt;="&amp;I$75,工数ログ!$A$4:$A$1003,"&lt;"&amp;EDATE(I$75,1)))</f>
        <v>0</v>
      </c>
      <c r="J79" s="56" t="n">
        <f aca="false">IF($A79="","",SUMIFS(工数ログ!$E$4:$E$1003,工数ログ!$B$4:$B$1003,$A79,工数ログ!$A$4:$A$1003,"&gt;="&amp;J$75,工数ログ!$A$4:$A$1003,"&lt;"&amp;EDATE(J$75,1)))</f>
        <v>0</v>
      </c>
      <c r="K79" s="56" t="n">
        <f aca="false">IF($A79="","",SUMIFS(工数ログ!$E$4:$E$1003,工数ログ!$B$4:$B$1003,$A79,工数ログ!$A$4:$A$1003,"&gt;="&amp;K$75,工数ログ!$A$4:$A$1003,"&lt;"&amp;EDATE(K$75,1)))</f>
        <v>0</v>
      </c>
      <c r="L79" s="56" t="n">
        <f aca="false">IF($A79="","",SUMIFS(工数ログ!$E$4:$E$1003,工数ログ!$B$4:$B$1003,$A79,工数ログ!$A$4:$A$1003,"&gt;="&amp;L$75,工数ログ!$A$4:$A$1003,"&lt;"&amp;EDATE(L$75,1)))</f>
        <v>0</v>
      </c>
      <c r="M79" s="56" t="n">
        <f aca="false">IF($A79="","",SUMIFS(工数ログ!$E$4:$E$1003,工数ログ!$B$4:$B$1003,$A79,工数ログ!$A$4:$A$1003,"&gt;="&amp;M$75,工数ログ!$A$4:$A$1003,"&lt;"&amp;EDATE(M$75,1)))</f>
        <v>0</v>
      </c>
      <c r="N79" s="56" t="n">
        <f aca="false">IF($A79="","",SUMIFS(工数ログ!$E$4:$E$1003,工数ログ!$B$4:$B$1003,$A79,工数ログ!$A$4:$A$1003,"&gt;="&amp;N$75,工数ログ!$A$4:$A$1003,"&lt;"&amp;EDATE(N$75,1)))</f>
        <v>0</v>
      </c>
      <c r="O79" s="2"/>
      <c r="P79" s="2"/>
    </row>
    <row r="80" customFormat="false" ht="15" hidden="false" customHeight="false" outlineLevel="0" collapsed="false">
      <c r="A80" s="52" t="str">
        <f aca="false">IF(設定!$A$8="","",設定!$A$8)</f>
        <v/>
      </c>
      <c r="B80" s="2"/>
      <c r="C80" s="56" t="str">
        <f aca="false">IF($A80="","",SUMIFS(工数ログ!$E$4:$E$1003,工数ログ!$B$4:$B$1003,$A80,工数ログ!$A$4:$A$1003,"&gt;="&amp;C$75,工数ログ!$A$4:$A$1003,"&lt;"&amp;EDATE(C$75,1)))</f>
        <v/>
      </c>
      <c r="D80" s="56" t="str">
        <f aca="false">IF($A80="","",SUMIFS(工数ログ!$E$4:$E$1003,工数ログ!$B$4:$B$1003,$A80,工数ログ!$A$4:$A$1003,"&gt;="&amp;D$75,工数ログ!$A$4:$A$1003,"&lt;"&amp;EDATE(D$75,1)))</f>
        <v/>
      </c>
      <c r="E80" s="56" t="str">
        <f aca="false">IF($A80="","",SUMIFS(工数ログ!$E$4:$E$1003,工数ログ!$B$4:$B$1003,$A80,工数ログ!$A$4:$A$1003,"&gt;="&amp;E$75,工数ログ!$A$4:$A$1003,"&lt;"&amp;EDATE(E$75,1)))</f>
        <v/>
      </c>
      <c r="F80" s="56" t="str">
        <f aca="false">IF($A80="","",SUMIFS(工数ログ!$E$4:$E$1003,工数ログ!$B$4:$B$1003,$A80,工数ログ!$A$4:$A$1003,"&gt;="&amp;F$75,工数ログ!$A$4:$A$1003,"&lt;"&amp;EDATE(F$75,1)))</f>
        <v/>
      </c>
      <c r="G80" s="56" t="str">
        <f aca="false">IF($A80="","",SUMIFS(工数ログ!$E$4:$E$1003,工数ログ!$B$4:$B$1003,$A80,工数ログ!$A$4:$A$1003,"&gt;="&amp;G$75,工数ログ!$A$4:$A$1003,"&lt;"&amp;EDATE(G$75,1)))</f>
        <v/>
      </c>
      <c r="H80" s="56" t="str">
        <f aca="false">IF($A80="","",SUMIFS(工数ログ!$E$4:$E$1003,工数ログ!$B$4:$B$1003,$A80,工数ログ!$A$4:$A$1003,"&gt;="&amp;H$75,工数ログ!$A$4:$A$1003,"&lt;"&amp;EDATE(H$75,1)))</f>
        <v/>
      </c>
      <c r="I80" s="56" t="str">
        <f aca="false">IF($A80="","",SUMIFS(工数ログ!$E$4:$E$1003,工数ログ!$B$4:$B$1003,$A80,工数ログ!$A$4:$A$1003,"&gt;="&amp;I$75,工数ログ!$A$4:$A$1003,"&lt;"&amp;EDATE(I$75,1)))</f>
        <v/>
      </c>
      <c r="J80" s="56" t="str">
        <f aca="false">IF($A80="","",SUMIFS(工数ログ!$E$4:$E$1003,工数ログ!$B$4:$B$1003,$A80,工数ログ!$A$4:$A$1003,"&gt;="&amp;J$75,工数ログ!$A$4:$A$1003,"&lt;"&amp;EDATE(J$75,1)))</f>
        <v/>
      </c>
      <c r="K80" s="56" t="str">
        <f aca="false">IF($A80="","",SUMIFS(工数ログ!$E$4:$E$1003,工数ログ!$B$4:$B$1003,$A80,工数ログ!$A$4:$A$1003,"&gt;="&amp;K$75,工数ログ!$A$4:$A$1003,"&lt;"&amp;EDATE(K$75,1)))</f>
        <v/>
      </c>
      <c r="L80" s="56" t="str">
        <f aca="false">IF($A80="","",SUMIFS(工数ログ!$E$4:$E$1003,工数ログ!$B$4:$B$1003,$A80,工数ログ!$A$4:$A$1003,"&gt;="&amp;L$75,工数ログ!$A$4:$A$1003,"&lt;"&amp;EDATE(L$75,1)))</f>
        <v/>
      </c>
      <c r="M80" s="56" t="str">
        <f aca="false">IF($A80="","",SUMIFS(工数ログ!$E$4:$E$1003,工数ログ!$B$4:$B$1003,$A80,工数ログ!$A$4:$A$1003,"&gt;="&amp;M$75,工数ログ!$A$4:$A$1003,"&lt;"&amp;EDATE(M$75,1)))</f>
        <v/>
      </c>
      <c r="N80" s="56" t="str">
        <f aca="false">IF($A80="","",SUMIFS(工数ログ!$E$4:$E$1003,工数ログ!$B$4:$B$1003,$A80,工数ログ!$A$4:$A$1003,"&gt;="&amp;N$75,工数ログ!$A$4:$A$1003,"&lt;"&amp;EDATE(N$75,1)))</f>
        <v/>
      </c>
      <c r="O80" s="2"/>
      <c r="P80" s="2"/>
    </row>
    <row r="81" customFormat="false" ht="15" hidden="false" customHeight="false" outlineLevel="0" collapsed="false">
      <c r="A81" s="52" t="str">
        <f aca="false">IF(設定!$A$9="","",設定!$A$9)</f>
        <v/>
      </c>
      <c r="B81" s="2"/>
      <c r="C81" s="56" t="str">
        <f aca="false">IF($A81="","",SUMIFS(工数ログ!$E$4:$E$1003,工数ログ!$B$4:$B$1003,$A81,工数ログ!$A$4:$A$1003,"&gt;="&amp;C$75,工数ログ!$A$4:$A$1003,"&lt;"&amp;EDATE(C$75,1)))</f>
        <v/>
      </c>
      <c r="D81" s="56" t="str">
        <f aca="false">IF($A81="","",SUMIFS(工数ログ!$E$4:$E$1003,工数ログ!$B$4:$B$1003,$A81,工数ログ!$A$4:$A$1003,"&gt;="&amp;D$75,工数ログ!$A$4:$A$1003,"&lt;"&amp;EDATE(D$75,1)))</f>
        <v/>
      </c>
      <c r="E81" s="56" t="str">
        <f aca="false">IF($A81="","",SUMIFS(工数ログ!$E$4:$E$1003,工数ログ!$B$4:$B$1003,$A81,工数ログ!$A$4:$A$1003,"&gt;="&amp;E$75,工数ログ!$A$4:$A$1003,"&lt;"&amp;EDATE(E$75,1)))</f>
        <v/>
      </c>
      <c r="F81" s="56" t="str">
        <f aca="false">IF($A81="","",SUMIFS(工数ログ!$E$4:$E$1003,工数ログ!$B$4:$B$1003,$A81,工数ログ!$A$4:$A$1003,"&gt;="&amp;F$75,工数ログ!$A$4:$A$1003,"&lt;"&amp;EDATE(F$75,1)))</f>
        <v/>
      </c>
      <c r="G81" s="56" t="str">
        <f aca="false">IF($A81="","",SUMIFS(工数ログ!$E$4:$E$1003,工数ログ!$B$4:$B$1003,$A81,工数ログ!$A$4:$A$1003,"&gt;="&amp;G$75,工数ログ!$A$4:$A$1003,"&lt;"&amp;EDATE(G$75,1)))</f>
        <v/>
      </c>
      <c r="H81" s="56" t="str">
        <f aca="false">IF($A81="","",SUMIFS(工数ログ!$E$4:$E$1003,工数ログ!$B$4:$B$1003,$A81,工数ログ!$A$4:$A$1003,"&gt;="&amp;H$75,工数ログ!$A$4:$A$1003,"&lt;"&amp;EDATE(H$75,1)))</f>
        <v/>
      </c>
      <c r="I81" s="56" t="str">
        <f aca="false">IF($A81="","",SUMIFS(工数ログ!$E$4:$E$1003,工数ログ!$B$4:$B$1003,$A81,工数ログ!$A$4:$A$1003,"&gt;="&amp;I$75,工数ログ!$A$4:$A$1003,"&lt;"&amp;EDATE(I$75,1)))</f>
        <v/>
      </c>
      <c r="J81" s="56" t="str">
        <f aca="false">IF($A81="","",SUMIFS(工数ログ!$E$4:$E$1003,工数ログ!$B$4:$B$1003,$A81,工数ログ!$A$4:$A$1003,"&gt;="&amp;J$75,工数ログ!$A$4:$A$1003,"&lt;"&amp;EDATE(J$75,1)))</f>
        <v/>
      </c>
      <c r="K81" s="56" t="str">
        <f aca="false">IF($A81="","",SUMIFS(工数ログ!$E$4:$E$1003,工数ログ!$B$4:$B$1003,$A81,工数ログ!$A$4:$A$1003,"&gt;="&amp;K$75,工数ログ!$A$4:$A$1003,"&lt;"&amp;EDATE(K$75,1)))</f>
        <v/>
      </c>
      <c r="L81" s="56" t="str">
        <f aca="false">IF($A81="","",SUMIFS(工数ログ!$E$4:$E$1003,工数ログ!$B$4:$B$1003,$A81,工数ログ!$A$4:$A$1003,"&gt;="&amp;L$75,工数ログ!$A$4:$A$1003,"&lt;"&amp;EDATE(L$75,1)))</f>
        <v/>
      </c>
      <c r="M81" s="56" t="str">
        <f aca="false">IF($A81="","",SUMIFS(工数ログ!$E$4:$E$1003,工数ログ!$B$4:$B$1003,$A81,工数ログ!$A$4:$A$1003,"&gt;="&amp;M$75,工数ログ!$A$4:$A$1003,"&lt;"&amp;EDATE(M$75,1)))</f>
        <v/>
      </c>
      <c r="N81" s="56" t="str">
        <f aca="false">IF($A81="","",SUMIFS(工数ログ!$E$4:$E$1003,工数ログ!$B$4:$B$1003,$A81,工数ログ!$A$4:$A$1003,"&gt;="&amp;N$75,工数ログ!$A$4:$A$1003,"&lt;"&amp;EDATE(N$75,1)))</f>
        <v/>
      </c>
      <c r="O81" s="2"/>
      <c r="P81" s="2"/>
    </row>
    <row r="82" customFormat="false" ht="15" hidden="false" customHeight="false" outlineLevel="0" collapsed="false">
      <c r="A82" s="52" t="str">
        <f aca="false">IF(設定!$A$10="","",設定!$A$10)</f>
        <v/>
      </c>
      <c r="B82" s="2"/>
      <c r="C82" s="56" t="str">
        <f aca="false">IF($A82="","",SUMIFS(工数ログ!$E$4:$E$1003,工数ログ!$B$4:$B$1003,$A82,工数ログ!$A$4:$A$1003,"&gt;="&amp;C$75,工数ログ!$A$4:$A$1003,"&lt;"&amp;EDATE(C$75,1)))</f>
        <v/>
      </c>
      <c r="D82" s="56" t="str">
        <f aca="false">IF($A82="","",SUMIFS(工数ログ!$E$4:$E$1003,工数ログ!$B$4:$B$1003,$A82,工数ログ!$A$4:$A$1003,"&gt;="&amp;D$75,工数ログ!$A$4:$A$1003,"&lt;"&amp;EDATE(D$75,1)))</f>
        <v/>
      </c>
      <c r="E82" s="56" t="str">
        <f aca="false">IF($A82="","",SUMIFS(工数ログ!$E$4:$E$1003,工数ログ!$B$4:$B$1003,$A82,工数ログ!$A$4:$A$1003,"&gt;="&amp;E$75,工数ログ!$A$4:$A$1003,"&lt;"&amp;EDATE(E$75,1)))</f>
        <v/>
      </c>
      <c r="F82" s="56" t="str">
        <f aca="false">IF($A82="","",SUMIFS(工数ログ!$E$4:$E$1003,工数ログ!$B$4:$B$1003,$A82,工数ログ!$A$4:$A$1003,"&gt;="&amp;F$75,工数ログ!$A$4:$A$1003,"&lt;"&amp;EDATE(F$75,1)))</f>
        <v/>
      </c>
      <c r="G82" s="56" t="str">
        <f aca="false">IF($A82="","",SUMIFS(工数ログ!$E$4:$E$1003,工数ログ!$B$4:$B$1003,$A82,工数ログ!$A$4:$A$1003,"&gt;="&amp;G$75,工数ログ!$A$4:$A$1003,"&lt;"&amp;EDATE(G$75,1)))</f>
        <v/>
      </c>
      <c r="H82" s="56" t="str">
        <f aca="false">IF($A82="","",SUMIFS(工数ログ!$E$4:$E$1003,工数ログ!$B$4:$B$1003,$A82,工数ログ!$A$4:$A$1003,"&gt;="&amp;H$75,工数ログ!$A$4:$A$1003,"&lt;"&amp;EDATE(H$75,1)))</f>
        <v/>
      </c>
      <c r="I82" s="56" t="str">
        <f aca="false">IF($A82="","",SUMIFS(工数ログ!$E$4:$E$1003,工数ログ!$B$4:$B$1003,$A82,工数ログ!$A$4:$A$1003,"&gt;="&amp;I$75,工数ログ!$A$4:$A$1003,"&lt;"&amp;EDATE(I$75,1)))</f>
        <v/>
      </c>
      <c r="J82" s="56" t="str">
        <f aca="false">IF($A82="","",SUMIFS(工数ログ!$E$4:$E$1003,工数ログ!$B$4:$B$1003,$A82,工数ログ!$A$4:$A$1003,"&gt;="&amp;J$75,工数ログ!$A$4:$A$1003,"&lt;"&amp;EDATE(J$75,1)))</f>
        <v/>
      </c>
      <c r="K82" s="56" t="str">
        <f aca="false">IF($A82="","",SUMIFS(工数ログ!$E$4:$E$1003,工数ログ!$B$4:$B$1003,$A82,工数ログ!$A$4:$A$1003,"&gt;="&amp;K$75,工数ログ!$A$4:$A$1003,"&lt;"&amp;EDATE(K$75,1)))</f>
        <v/>
      </c>
      <c r="L82" s="56" t="str">
        <f aca="false">IF($A82="","",SUMIFS(工数ログ!$E$4:$E$1003,工数ログ!$B$4:$B$1003,$A82,工数ログ!$A$4:$A$1003,"&gt;="&amp;L$75,工数ログ!$A$4:$A$1003,"&lt;"&amp;EDATE(L$75,1)))</f>
        <v/>
      </c>
      <c r="M82" s="56" t="str">
        <f aca="false">IF($A82="","",SUMIFS(工数ログ!$E$4:$E$1003,工数ログ!$B$4:$B$1003,$A82,工数ログ!$A$4:$A$1003,"&gt;="&amp;M$75,工数ログ!$A$4:$A$1003,"&lt;"&amp;EDATE(M$75,1)))</f>
        <v/>
      </c>
      <c r="N82" s="56" t="str">
        <f aca="false">IF($A82="","",SUMIFS(工数ログ!$E$4:$E$1003,工数ログ!$B$4:$B$1003,$A82,工数ログ!$A$4:$A$1003,"&gt;="&amp;N$75,工数ログ!$A$4:$A$1003,"&lt;"&amp;EDATE(N$75,1)))</f>
        <v/>
      </c>
      <c r="O82" s="2"/>
      <c r="P82" s="2"/>
    </row>
    <row r="83" customFormat="false" ht="15" hidden="false" customHeight="false" outlineLevel="0" collapsed="false">
      <c r="A83" s="52" t="str">
        <f aca="false">IF(設定!$A$11="","",設定!$A$11)</f>
        <v/>
      </c>
      <c r="B83" s="2"/>
      <c r="C83" s="56" t="str">
        <f aca="false">IF($A83="","",SUMIFS(工数ログ!$E$4:$E$1003,工数ログ!$B$4:$B$1003,$A83,工数ログ!$A$4:$A$1003,"&gt;="&amp;C$75,工数ログ!$A$4:$A$1003,"&lt;"&amp;EDATE(C$75,1)))</f>
        <v/>
      </c>
      <c r="D83" s="56" t="str">
        <f aca="false">IF($A83="","",SUMIFS(工数ログ!$E$4:$E$1003,工数ログ!$B$4:$B$1003,$A83,工数ログ!$A$4:$A$1003,"&gt;="&amp;D$75,工数ログ!$A$4:$A$1003,"&lt;"&amp;EDATE(D$75,1)))</f>
        <v/>
      </c>
      <c r="E83" s="56" t="str">
        <f aca="false">IF($A83="","",SUMIFS(工数ログ!$E$4:$E$1003,工数ログ!$B$4:$B$1003,$A83,工数ログ!$A$4:$A$1003,"&gt;="&amp;E$75,工数ログ!$A$4:$A$1003,"&lt;"&amp;EDATE(E$75,1)))</f>
        <v/>
      </c>
      <c r="F83" s="56" t="str">
        <f aca="false">IF($A83="","",SUMIFS(工数ログ!$E$4:$E$1003,工数ログ!$B$4:$B$1003,$A83,工数ログ!$A$4:$A$1003,"&gt;="&amp;F$75,工数ログ!$A$4:$A$1003,"&lt;"&amp;EDATE(F$75,1)))</f>
        <v/>
      </c>
      <c r="G83" s="56" t="str">
        <f aca="false">IF($A83="","",SUMIFS(工数ログ!$E$4:$E$1003,工数ログ!$B$4:$B$1003,$A83,工数ログ!$A$4:$A$1003,"&gt;="&amp;G$75,工数ログ!$A$4:$A$1003,"&lt;"&amp;EDATE(G$75,1)))</f>
        <v/>
      </c>
      <c r="H83" s="56" t="str">
        <f aca="false">IF($A83="","",SUMIFS(工数ログ!$E$4:$E$1003,工数ログ!$B$4:$B$1003,$A83,工数ログ!$A$4:$A$1003,"&gt;="&amp;H$75,工数ログ!$A$4:$A$1003,"&lt;"&amp;EDATE(H$75,1)))</f>
        <v/>
      </c>
      <c r="I83" s="56" t="str">
        <f aca="false">IF($A83="","",SUMIFS(工数ログ!$E$4:$E$1003,工数ログ!$B$4:$B$1003,$A83,工数ログ!$A$4:$A$1003,"&gt;="&amp;I$75,工数ログ!$A$4:$A$1003,"&lt;"&amp;EDATE(I$75,1)))</f>
        <v/>
      </c>
      <c r="J83" s="56" t="str">
        <f aca="false">IF($A83="","",SUMIFS(工数ログ!$E$4:$E$1003,工数ログ!$B$4:$B$1003,$A83,工数ログ!$A$4:$A$1003,"&gt;="&amp;J$75,工数ログ!$A$4:$A$1003,"&lt;"&amp;EDATE(J$75,1)))</f>
        <v/>
      </c>
      <c r="K83" s="56" t="str">
        <f aca="false">IF($A83="","",SUMIFS(工数ログ!$E$4:$E$1003,工数ログ!$B$4:$B$1003,$A83,工数ログ!$A$4:$A$1003,"&gt;="&amp;K$75,工数ログ!$A$4:$A$1003,"&lt;"&amp;EDATE(K$75,1)))</f>
        <v/>
      </c>
      <c r="L83" s="56" t="str">
        <f aca="false">IF($A83="","",SUMIFS(工数ログ!$E$4:$E$1003,工数ログ!$B$4:$B$1003,$A83,工数ログ!$A$4:$A$1003,"&gt;="&amp;L$75,工数ログ!$A$4:$A$1003,"&lt;"&amp;EDATE(L$75,1)))</f>
        <v/>
      </c>
      <c r="M83" s="56" t="str">
        <f aca="false">IF($A83="","",SUMIFS(工数ログ!$E$4:$E$1003,工数ログ!$B$4:$B$1003,$A83,工数ログ!$A$4:$A$1003,"&gt;="&amp;M$75,工数ログ!$A$4:$A$1003,"&lt;"&amp;EDATE(M$75,1)))</f>
        <v/>
      </c>
      <c r="N83" s="56" t="str">
        <f aca="false">IF($A83="","",SUMIFS(工数ログ!$E$4:$E$1003,工数ログ!$B$4:$B$1003,$A83,工数ログ!$A$4:$A$1003,"&gt;="&amp;N$75,工数ログ!$A$4:$A$1003,"&lt;"&amp;EDATE(N$75,1)))</f>
        <v/>
      </c>
      <c r="O83" s="2"/>
      <c r="P83" s="2"/>
    </row>
    <row r="84" customFormat="false" ht="15" hidden="false" customHeight="false" outlineLevel="0" collapsed="false">
      <c r="A84" s="52" t="str">
        <f aca="false">IF(設定!$A$12="","",設定!$A$12)</f>
        <v/>
      </c>
      <c r="B84" s="2"/>
      <c r="C84" s="56" t="str">
        <f aca="false">IF($A84="","",SUMIFS(工数ログ!$E$4:$E$1003,工数ログ!$B$4:$B$1003,$A84,工数ログ!$A$4:$A$1003,"&gt;="&amp;C$75,工数ログ!$A$4:$A$1003,"&lt;"&amp;EDATE(C$75,1)))</f>
        <v/>
      </c>
      <c r="D84" s="56" t="str">
        <f aca="false">IF($A84="","",SUMIFS(工数ログ!$E$4:$E$1003,工数ログ!$B$4:$B$1003,$A84,工数ログ!$A$4:$A$1003,"&gt;="&amp;D$75,工数ログ!$A$4:$A$1003,"&lt;"&amp;EDATE(D$75,1)))</f>
        <v/>
      </c>
      <c r="E84" s="56" t="str">
        <f aca="false">IF($A84="","",SUMIFS(工数ログ!$E$4:$E$1003,工数ログ!$B$4:$B$1003,$A84,工数ログ!$A$4:$A$1003,"&gt;="&amp;E$75,工数ログ!$A$4:$A$1003,"&lt;"&amp;EDATE(E$75,1)))</f>
        <v/>
      </c>
      <c r="F84" s="56" t="str">
        <f aca="false">IF($A84="","",SUMIFS(工数ログ!$E$4:$E$1003,工数ログ!$B$4:$B$1003,$A84,工数ログ!$A$4:$A$1003,"&gt;="&amp;F$75,工数ログ!$A$4:$A$1003,"&lt;"&amp;EDATE(F$75,1)))</f>
        <v/>
      </c>
      <c r="G84" s="56" t="str">
        <f aca="false">IF($A84="","",SUMIFS(工数ログ!$E$4:$E$1003,工数ログ!$B$4:$B$1003,$A84,工数ログ!$A$4:$A$1003,"&gt;="&amp;G$75,工数ログ!$A$4:$A$1003,"&lt;"&amp;EDATE(G$75,1)))</f>
        <v/>
      </c>
      <c r="H84" s="56" t="str">
        <f aca="false">IF($A84="","",SUMIFS(工数ログ!$E$4:$E$1003,工数ログ!$B$4:$B$1003,$A84,工数ログ!$A$4:$A$1003,"&gt;="&amp;H$75,工数ログ!$A$4:$A$1003,"&lt;"&amp;EDATE(H$75,1)))</f>
        <v/>
      </c>
      <c r="I84" s="56" t="str">
        <f aca="false">IF($A84="","",SUMIFS(工数ログ!$E$4:$E$1003,工数ログ!$B$4:$B$1003,$A84,工数ログ!$A$4:$A$1003,"&gt;="&amp;I$75,工数ログ!$A$4:$A$1003,"&lt;"&amp;EDATE(I$75,1)))</f>
        <v/>
      </c>
      <c r="J84" s="56" t="str">
        <f aca="false">IF($A84="","",SUMIFS(工数ログ!$E$4:$E$1003,工数ログ!$B$4:$B$1003,$A84,工数ログ!$A$4:$A$1003,"&gt;="&amp;J$75,工数ログ!$A$4:$A$1003,"&lt;"&amp;EDATE(J$75,1)))</f>
        <v/>
      </c>
      <c r="K84" s="56" t="str">
        <f aca="false">IF($A84="","",SUMIFS(工数ログ!$E$4:$E$1003,工数ログ!$B$4:$B$1003,$A84,工数ログ!$A$4:$A$1003,"&gt;="&amp;K$75,工数ログ!$A$4:$A$1003,"&lt;"&amp;EDATE(K$75,1)))</f>
        <v/>
      </c>
      <c r="L84" s="56" t="str">
        <f aca="false">IF($A84="","",SUMIFS(工数ログ!$E$4:$E$1003,工数ログ!$B$4:$B$1003,$A84,工数ログ!$A$4:$A$1003,"&gt;="&amp;L$75,工数ログ!$A$4:$A$1003,"&lt;"&amp;EDATE(L$75,1)))</f>
        <v/>
      </c>
      <c r="M84" s="56" t="str">
        <f aca="false">IF($A84="","",SUMIFS(工数ログ!$E$4:$E$1003,工数ログ!$B$4:$B$1003,$A84,工数ログ!$A$4:$A$1003,"&gt;="&amp;M$75,工数ログ!$A$4:$A$1003,"&lt;"&amp;EDATE(M$75,1)))</f>
        <v/>
      </c>
      <c r="N84" s="56" t="str">
        <f aca="false">IF($A84="","",SUMIFS(工数ログ!$E$4:$E$1003,工数ログ!$B$4:$B$1003,$A84,工数ログ!$A$4:$A$1003,"&gt;="&amp;N$75,工数ログ!$A$4:$A$1003,"&lt;"&amp;EDATE(N$75,1)))</f>
        <v/>
      </c>
      <c r="O84" s="2"/>
      <c r="P84" s="2"/>
    </row>
    <row r="85" customFormat="false" ht="15" hidden="false" customHeight="false" outlineLevel="0" collapsed="false">
      <c r="A85" s="52" t="str">
        <f aca="false">IF(設定!$A$13="","",設定!$A$13)</f>
        <v/>
      </c>
      <c r="B85" s="2"/>
      <c r="C85" s="56" t="str">
        <f aca="false">IF($A85="","",SUMIFS(工数ログ!$E$4:$E$1003,工数ログ!$B$4:$B$1003,$A85,工数ログ!$A$4:$A$1003,"&gt;="&amp;C$75,工数ログ!$A$4:$A$1003,"&lt;"&amp;EDATE(C$75,1)))</f>
        <v/>
      </c>
      <c r="D85" s="56" t="str">
        <f aca="false">IF($A85="","",SUMIFS(工数ログ!$E$4:$E$1003,工数ログ!$B$4:$B$1003,$A85,工数ログ!$A$4:$A$1003,"&gt;="&amp;D$75,工数ログ!$A$4:$A$1003,"&lt;"&amp;EDATE(D$75,1)))</f>
        <v/>
      </c>
      <c r="E85" s="56" t="str">
        <f aca="false">IF($A85="","",SUMIFS(工数ログ!$E$4:$E$1003,工数ログ!$B$4:$B$1003,$A85,工数ログ!$A$4:$A$1003,"&gt;="&amp;E$75,工数ログ!$A$4:$A$1003,"&lt;"&amp;EDATE(E$75,1)))</f>
        <v/>
      </c>
      <c r="F85" s="56" t="str">
        <f aca="false">IF($A85="","",SUMIFS(工数ログ!$E$4:$E$1003,工数ログ!$B$4:$B$1003,$A85,工数ログ!$A$4:$A$1003,"&gt;="&amp;F$75,工数ログ!$A$4:$A$1003,"&lt;"&amp;EDATE(F$75,1)))</f>
        <v/>
      </c>
      <c r="G85" s="56" t="str">
        <f aca="false">IF($A85="","",SUMIFS(工数ログ!$E$4:$E$1003,工数ログ!$B$4:$B$1003,$A85,工数ログ!$A$4:$A$1003,"&gt;="&amp;G$75,工数ログ!$A$4:$A$1003,"&lt;"&amp;EDATE(G$75,1)))</f>
        <v/>
      </c>
      <c r="H85" s="56" t="str">
        <f aca="false">IF($A85="","",SUMIFS(工数ログ!$E$4:$E$1003,工数ログ!$B$4:$B$1003,$A85,工数ログ!$A$4:$A$1003,"&gt;="&amp;H$75,工数ログ!$A$4:$A$1003,"&lt;"&amp;EDATE(H$75,1)))</f>
        <v/>
      </c>
      <c r="I85" s="56" t="str">
        <f aca="false">IF($A85="","",SUMIFS(工数ログ!$E$4:$E$1003,工数ログ!$B$4:$B$1003,$A85,工数ログ!$A$4:$A$1003,"&gt;="&amp;I$75,工数ログ!$A$4:$A$1003,"&lt;"&amp;EDATE(I$75,1)))</f>
        <v/>
      </c>
      <c r="J85" s="56" t="str">
        <f aca="false">IF($A85="","",SUMIFS(工数ログ!$E$4:$E$1003,工数ログ!$B$4:$B$1003,$A85,工数ログ!$A$4:$A$1003,"&gt;="&amp;J$75,工数ログ!$A$4:$A$1003,"&lt;"&amp;EDATE(J$75,1)))</f>
        <v/>
      </c>
      <c r="K85" s="56" t="str">
        <f aca="false">IF($A85="","",SUMIFS(工数ログ!$E$4:$E$1003,工数ログ!$B$4:$B$1003,$A85,工数ログ!$A$4:$A$1003,"&gt;="&amp;K$75,工数ログ!$A$4:$A$1003,"&lt;"&amp;EDATE(K$75,1)))</f>
        <v/>
      </c>
      <c r="L85" s="56" t="str">
        <f aca="false">IF($A85="","",SUMIFS(工数ログ!$E$4:$E$1003,工数ログ!$B$4:$B$1003,$A85,工数ログ!$A$4:$A$1003,"&gt;="&amp;L$75,工数ログ!$A$4:$A$1003,"&lt;"&amp;EDATE(L$75,1)))</f>
        <v/>
      </c>
      <c r="M85" s="56" t="str">
        <f aca="false">IF($A85="","",SUMIFS(工数ログ!$E$4:$E$1003,工数ログ!$B$4:$B$1003,$A85,工数ログ!$A$4:$A$1003,"&gt;="&amp;M$75,工数ログ!$A$4:$A$1003,"&lt;"&amp;EDATE(M$75,1)))</f>
        <v/>
      </c>
      <c r="N85" s="56" t="str">
        <f aca="false">IF($A85="","",SUMIFS(工数ログ!$E$4:$E$1003,工数ログ!$B$4:$B$1003,$A85,工数ログ!$A$4:$A$1003,"&gt;="&amp;N$75,工数ログ!$A$4:$A$1003,"&lt;"&amp;EDATE(N$75,1)))</f>
        <v/>
      </c>
      <c r="O85" s="2"/>
      <c r="P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</sheetData>
  <conditionalFormatting sqref="C52:N72">
    <cfRule type="cellIs" priority="2" operator="greaterThan" aboveAverage="0" equalAverage="0" bottom="0" percent="0" rank="0" text="" dxfId="25">
      <formula>0</formula>
    </cfRule>
    <cfRule type="cellIs" priority="3" operator="lessThan" aboveAverage="0" equalAverage="0" bottom="0" percent="0" rank="0" text="" dxfId="2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A65"/>
    <pageSetUpPr fitToPage="false"/>
  </sheetPr>
  <dimension ref="A1:H10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81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82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5" t="s">
        <v>83</v>
      </c>
      <c r="B3" s="5" t="s">
        <v>84</v>
      </c>
      <c r="C3" s="5" t="s">
        <v>4</v>
      </c>
      <c r="D3" s="5" t="s">
        <v>85</v>
      </c>
      <c r="E3" s="5" t="s">
        <v>86</v>
      </c>
      <c r="F3" s="5" t="s">
        <v>15</v>
      </c>
      <c r="G3" s="2"/>
      <c r="H3" s="2"/>
    </row>
    <row r="4" customFormat="false" ht="15" hidden="false" customHeight="false" outlineLevel="0" collapsed="false">
      <c r="A4" s="11" t="n">
        <v>46269</v>
      </c>
      <c r="B4" s="10" t="s">
        <v>20</v>
      </c>
      <c r="C4" s="8" t="s">
        <v>18</v>
      </c>
      <c r="D4" s="8" t="n">
        <v>1</v>
      </c>
      <c r="E4" s="14" t="n">
        <v>2.5</v>
      </c>
      <c r="F4" s="8"/>
      <c r="G4" s="2"/>
      <c r="H4" s="2"/>
    </row>
    <row r="5" customFormat="false" ht="15" hidden="false" customHeight="false" outlineLevel="0" collapsed="false">
      <c r="A5" s="11" t="n">
        <v>46270</v>
      </c>
      <c r="B5" s="10" t="s">
        <v>20</v>
      </c>
      <c r="C5" s="8" t="s">
        <v>18</v>
      </c>
      <c r="D5" s="8" t="n">
        <v>1</v>
      </c>
      <c r="E5" s="14" t="n">
        <v>3</v>
      </c>
      <c r="F5" s="8"/>
      <c r="G5" s="2"/>
      <c r="H5" s="2"/>
    </row>
    <row r="6" customFormat="false" ht="15" hidden="false" customHeight="false" outlineLevel="0" collapsed="false">
      <c r="A6" s="11" t="n">
        <v>46268</v>
      </c>
      <c r="B6" s="10" t="s">
        <v>28</v>
      </c>
      <c r="C6" s="8" t="s">
        <v>30</v>
      </c>
      <c r="D6" s="8" t="n">
        <v>4</v>
      </c>
      <c r="E6" s="14" t="n">
        <v>4</v>
      </c>
      <c r="F6" s="8"/>
      <c r="G6" s="2"/>
      <c r="H6" s="2"/>
    </row>
    <row r="7" customFormat="false" ht="15" hidden="false" customHeight="false" outlineLevel="0" collapsed="false">
      <c r="A7" s="11" t="n">
        <v>46273</v>
      </c>
      <c r="B7" s="10" t="s">
        <v>20</v>
      </c>
      <c r="C7" s="8" t="s">
        <v>18</v>
      </c>
      <c r="D7" s="8" t="n">
        <v>2</v>
      </c>
      <c r="E7" s="14" t="n">
        <v>2</v>
      </c>
      <c r="F7" s="10" t="s">
        <v>87</v>
      </c>
      <c r="G7" s="2"/>
      <c r="H7" s="2"/>
    </row>
    <row r="8" customFormat="false" ht="15" hidden="false" customHeight="false" outlineLevel="0" collapsed="false">
      <c r="A8" s="11" t="n">
        <v>46273</v>
      </c>
      <c r="B8" s="10" t="s">
        <v>28</v>
      </c>
      <c r="C8" s="8" t="s">
        <v>26</v>
      </c>
      <c r="D8" s="8" t="n">
        <v>3</v>
      </c>
      <c r="E8" s="14" t="n">
        <v>1.5</v>
      </c>
      <c r="F8" s="8"/>
      <c r="G8" s="2"/>
      <c r="H8" s="2"/>
    </row>
    <row r="9" customFormat="false" ht="15" hidden="false" customHeight="false" outlineLevel="0" collapsed="false">
      <c r="A9" s="11"/>
      <c r="B9" s="10"/>
      <c r="C9" s="8"/>
      <c r="D9" s="8"/>
      <c r="E9" s="14"/>
      <c r="F9" s="8"/>
      <c r="G9" s="2"/>
      <c r="H9" s="2"/>
    </row>
    <row r="10" customFormat="false" ht="15" hidden="false" customHeight="false" outlineLevel="0" collapsed="false">
      <c r="A10" s="11"/>
      <c r="B10" s="10"/>
      <c r="C10" s="8"/>
      <c r="D10" s="8"/>
      <c r="E10" s="14"/>
      <c r="F10" s="8"/>
      <c r="G10" s="2"/>
      <c r="H10" s="2"/>
    </row>
    <row r="11" customFormat="false" ht="15" hidden="false" customHeight="false" outlineLevel="0" collapsed="false">
      <c r="A11" s="11"/>
      <c r="B11" s="10"/>
      <c r="C11" s="8"/>
      <c r="D11" s="8"/>
      <c r="E11" s="14"/>
      <c r="F11" s="8"/>
      <c r="G11" s="2"/>
      <c r="H11" s="2"/>
    </row>
    <row r="12" customFormat="false" ht="15" hidden="false" customHeight="false" outlineLevel="0" collapsed="false">
      <c r="A12" s="11"/>
      <c r="B12" s="10"/>
      <c r="C12" s="8"/>
      <c r="D12" s="8"/>
      <c r="E12" s="14"/>
      <c r="F12" s="8"/>
      <c r="G12" s="2"/>
      <c r="H12" s="2"/>
    </row>
    <row r="13" customFormat="false" ht="15" hidden="false" customHeight="false" outlineLevel="0" collapsed="false">
      <c r="A13" s="11"/>
      <c r="B13" s="10"/>
      <c r="C13" s="8"/>
      <c r="D13" s="8"/>
      <c r="E13" s="14"/>
      <c r="F13" s="8"/>
      <c r="G13" s="2"/>
      <c r="H13" s="2"/>
    </row>
    <row r="14" customFormat="false" ht="15" hidden="false" customHeight="false" outlineLevel="0" collapsed="false">
      <c r="A14" s="11"/>
      <c r="B14" s="10"/>
      <c r="C14" s="8"/>
      <c r="D14" s="8"/>
      <c r="E14" s="14"/>
      <c r="F14" s="8"/>
      <c r="G14" s="2"/>
      <c r="H14" s="2"/>
    </row>
    <row r="15" customFormat="false" ht="15" hidden="false" customHeight="false" outlineLevel="0" collapsed="false">
      <c r="A15" s="11"/>
      <c r="B15" s="10"/>
      <c r="C15" s="8"/>
      <c r="D15" s="8"/>
      <c r="E15" s="14"/>
      <c r="F15" s="8"/>
      <c r="G15" s="2"/>
      <c r="H15" s="2"/>
    </row>
    <row r="16" customFormat="false" ht="15" hidden="false" customHeight="false" outlineLevel="0" collapsed="false">
      <c r="A16" s="11"/>
      <c r="B16" s="10"/>
      <c r="C16" s="8"/>
      <c r="D16" s="8"/>
      <c r="E16" s="14"/>
      <c r="F16" s="8"/>
      <c r="G16" s="2"/>
      <c r="H16" s="2"/>
    </row>
    <row r="17" customFormat="false" ht="15" hidden="false" customHeight="false" outlineLevel="0" collapsed="false">
      <c r="A17" s="11"/>
      <c r="B17" s="10"/>
      <c r="C17" s="8"/>
      <c r="D17" s="8"/>
      <c r="E17" s="14"/>
      <c r="F17" s="8"/>
      <c r="G17" s="2"/>
      <c r="H17" s="2"/>
    </row>
    <row r="18" customFormat="false" ht="15" hidden="false" customHeight="false" outlineLevel="0" collapsed="false">
      <c r="A18" s="11"/>
      <c r="B18" s="10"/>
      <c r="C18" s="8"/>
      <c r="D18" s="8"/>
      <c r="E18" s="14"/>
      <c r="F18" s="8"/>
      <c r="G18" s="2"/>
      <c r="H18" s="2"/>
    </row>
    <row r="19" customFormat="false" ht="15" hidden="false" customHeight="false" outlineLevel="0" collapsed="false">
      <c r="A19" s="11"/>
      <c r="B19" s="10"/>
      <c r="C19" s="8"/>
      <c r="D19" s="8"/>
      <c r="E19" s="14"/>
      <c r="F19" s="8"/>
      <c r="G19" s="2"/>
      <c r="H19" s="2"/>
    </row>
    <row r="20" customFormat="false" ht="15" hidden="false" customHeight="false" outlineLevel="0" collapsed="false">
      <c r="A20" s="11"/>
      <c r="B20" s="10"/>
      <c r="C20" s="8"/>
      <c r="D20" s="8"/>
      <c r="E20" s="14"/>
      <c r="F20" s="8"/>
      <c r="G20" s="2"/>
      <c r="H20" s="2"/>
    </row>
    <row r="21" customFormat="false" ht="15" hidden="false" customHeight="false" outlineLevel="0" collapsed="false">
      <c r="A21" s="11"/>
      <c r="B21" s="10"/>
      <c r="C21" s="8"/>
      <c r="D21" s="8"/>
      <c r="E21" s="14"/>
      <c r="F21" s="8"/>
      <c r="G21" s="2"/>
      <c r="H21" s="2"/>
    </row>
    <row r="22" customFormat="false" ht="15" hidden="false" customHeight="false" outlineLevel="0" collapsed="false">
      <c r="A22" s="11"/>
      <c r="B22" s="10"/>
      <c r="C22" s="8"/>
      <c r="D22" s="8"/>
      <c r="E22" s="14"/>
      <c r="F22" s="8"/>
      <c r="G22" s="2"/>
      <c r="H22" s="2"/>
    </row>
    <row r="23" customFormat="false" ht="15" hidden="false" customHeight="false" outlineLevel="0" collapsed="false">
      <c r="A23" s="11"/>
      <c r="B23" s="10"/>
      <c r="C23" s="8"/>
      <c r="D23" s="8"/>
      <c r="E23" s="14"/>
      <c r="F23" s="8"/>
      <c r="G23" s="2"/>
      <c r="H23" s="2"/>
    </row>
    <row r="24" customFormat="false" ht="15" hidden="false" customHeight="false" outlineLevel="0" collapsed="false">
      <c r="A24" s="11"/>
      <c r="B24" s="10"/>
      <c r="C24" s="8"/>
      <c r="D24" s="8"/>
      <c r="E24" s="14"/>
      <c r="F24" s="8"/>
      <c r="G24" s="2"/>
      <c r="H24" s="2"/>
    </row>
    <row r="25" customFormat="false" ht="15" hidden="false" customHeight="false" outlineLevel="0" collapsed="false">
      <c r="A25" s="11"/>
      <c r="B25" s="10"/>
      <c r="C25" s="8"/>
      <c r="D25" s="8"/>
      <c r="E25" s="14"/>
      <c r="F25" s="8"/>
      <c r="G25" s="2"/>
      <c r="H25" s="2"/>
    </row>
    <row r="26" customFormat="false" ht="15" hidden="false" customHeight="false" outlineLevel="0" collapsed="false">
      <c r="A26" s="11"/>
      <c r="B26" s="10"/>
      <c r="C26" s="8"/>
      <c r="D26" s="8"/>
      <c r="E26" s="14"/>
      <c r="F26" s="8"/>
      <c r="G26" s="2"/>
      <c r="H26" s="2"/>
    </row>
    <row r="27" customFormat="false" ht="15" hidden="false" customHeight="false" outlineLevel="0" collapsed="false">
      <c r="A27" s="11"/>
      <c r="B27" s="10"/>
      <c r="C27" s="8"/>
      <c r="D27" s="8"/>
      <c r="E27" s="14"/>
      <c r="F27" s="8"/>
      <c r="G27" s="2"/>
      <c r="H27" s="2"/>
    </row>
    <row r="28" customFormat="false" ht="15" hidden="false" customHeight="false" outlineLevel="0" collapsed="false">
      <c r="A28" s="11"/>
      <c r="B28" s="10"/>
      <c r="C28" s="8"/>
      <c r="D28" s="8"/>
      <c r="E28" s="14"/>
      <c r="F28" s="8"/>
      <c r="G28" s="2"/>
      <c r="H28" s="2"/>
    </row>
    <row r="29" customFormat="false" ht="15" hidden="false" customHeight="false" outlineLevel="0" collapsed="false">
      <c r="A29" s="11"/>
      <c r="B29" s="10"/>
      <c r="C29" s="8"/>
      <c r="D29" s="8"/>
      <c r="E29" s="14"/>
      <c r="F29" s="8"/>
      <c r="G29" s="2"/>
      <c r="H29" s="2"/>
    </row>
    <row r="30" customFormat="false" ht="15" hidden="false" customHeight="false" outlineLevel="0" collapsed="false">
      <c r="A30" s="11"/>
      <c r="B30" s="10"/>
      <c r="C30" s="8"/>
      <c r="D30" s="8"/>
      <c r="E30" s="14"/>
      <c r="F30" s="8"/>
      <c r="G30" s="2"/>
      <c r="H30" s="2"/>
    </row>
    <row r="31" customFormat="false" ht="15" hidden="false" customHeight="false" outlineLevel="0" collapsed="false">
      <c r="A31" s="11"/>
      <c r="B31" s="10"/>
      <c r="C31" s="8"/>
      <c r="D31" s="8"/>
      <c r="E31" s="14"/>
      <c r="F31" s="8"/>
      <c r="G31" s="2"/>
      <c r="H31" s="2"/>
    </row>
    <row r="32" customFormat="false" ht="15" hidden="false" customHeight="false" outlineLevel="0" collapsed="false">
      <c r="A32" s="11"/>
      <c r="B32" s="10"/>
      <c r="C32" s="8"/>
      <c r="D32" s="8"/>
      <c r="E32" s="14"/>
      <c r="F32" s="8"/>
      <c r="G32" s="2"/>
      <c r="H32" s="2"/>
    </row>
    <row r="33" customFormat="false" ht="15" hidden="false" customHeight="false" outlineLevel="0" collapsed="false">
      <c r="A33" s="11"/>
      <c r="B33" s="10"/>
      <c r="C33" s="8"/>
      <c r="D33" s="8"/>
      <c r="E33" s="14"/>
      <c r="F33" s="8"/>
      <c r="G33" s="2"/>
      <c r="H33" s="2"/>
    </row>
    <row r="34" customFormat="false" ht="15" hidden="false" customHeight="false" outlineLevel="0" collapsed="false">
      <c r="A34" s="11"/>
      <c r="B34" s="10"/>
      <c r="C34" s="8"/>
      <c r="D34" s="8"/>
      <c r="E34" s="14"/>
      <c r="F34" s="8"/>
      <c r="G34" s="2"/>
      <c r="H34" s="2"/>
    </row>
    <row r="35" customFormat="false" ht="15" hidden="false" customHeight="false" outlineLevel="0" collapsed="false">
      <c r="A35" s="11"/>
      <c r="B35" s="10"/>
      <c r="C35" s="8"/>
      <c r="D35" s="8"/>
      <c r="E35" s="14"/>
      <c r="F35" s="8"/>
      <c r="G35" s="2"/>
      <c r="H35" s="2"/>
    </row>
    <row r="36" customFormat="false" ht="15" hidden="false" customHeight="false" outlineLevel="0" collapsed="false">
      <c r="A36" s="11"/>
      <c r="B36" s="10"/>
      <c r="C36" s="8"/>
      <c r="D36" s="8"/>
      <c r="E36" s="14"/>
      <c r="F36" s="8"/>
      <c r="G36" s="2"/>
      <c r="H36" s="2"/>
    </row>
    <row r="37" customFormat="false" ht="15" hidden="false" customHeight="false" outlineLevel="0" collapsed="false">
      <c r="A37" s="11"/>
      <c r="B37" s="10"/>
      <c r="C37" s="8"/>
      <c r="D37" s="8"/>
      <c r="E37" s="14"/>
      <c r="F37" s="8"/>
      <c r="G37" s="2"/>
      <c r="H37" s="2"/>
    </row>
    <row r="38" customFormat="false" ht="15" hidden="false" customHeight="false" outlineLevel="0" collapsed="false">
      <c r="A38" s="11"/>
      <c r="B38" s="10"/>
      <c r="C38" s="8"/>
      <c r="D38" s="8"/>
      <c r="E38" s="14"/>
      <c r="F38" s="8"/>
      <c r="G38" s="2"/>
      <c r="H38" s="2"/>
    </row>
    <row r="39" customFormat="false" ht="15" hidden="false" customHeight="false" outlineLevel="0" collapsed="false">
      <c r="A39" s="11"/>
      <c r="B39" s="10"/>
      <c r="C39" s="8"/>
      <c r="D39" s="8"/>
      <c r="E39" s="14"/>
      <c r="F39" s="8"/>
      <c r="G39" s="2"/>
      <c r="H39" s="2"/>
    </row>
    <row r="40" customFormat="false" ht="15" hidden="false" customHeight="false" outlineLevel="0" collapsed="false">
      <c r="A40" s="11"/>
      <c r="B40" s="10"/>
      <c r="C40" s="8"/>
      <c r="D40" s="8"/>
      <c r="E40" s="14"/>
      <c r="F40" s="8"/>
      <c r="G40" s="2"/>
      <c r="H40" s="2"/>
    </row>
    <row r="41" customFormat="false" ht="15" hidden="false" customHeight="false" outlineLevel="0" collapsed="false">
      <c r="A41" s="11"/>
      <c r="B41" s="10"/>
      <c r="C41" s="8"/>
      <c r="D41" s="8"/>
      <c r="E41" s="14"/>
      <c r="F41" s="8"/>
      <c r="G41" s="2"/>
      <c r="H41" s="2"/>
    </row>
    <row r="42" customFormat="false" ht="15" hidden="false" customHeight="false" outlineLevel="0" collapsed="false">
      <c r="A42" s="11"/>
      <c r="B42" s="10"/>
      <c r="C42" s="8"/>
      <c r="D42" s="8"/>
      <c r="E42" s="14"/>
      <c r="F42" s="8"/>
      <c r="G42" s="2"/>
      <c r="H42" s="2"/>
    </row>
    <row r="43" customFormat="false" ht="15" hidden="false" customHeight="false" outlineLevel="0" collapsed="false">
      <c r="A43" s="11"/>
      <c r="B43" s="10"/>
      <c r="C43" s="8"/>
      <c r="D43" s="8"/>
      <c r="E43" s="14"/>
      <c r="F43" s="8"/>
      <c r="G43" s="2"/>
      <c r="H43" s="2"/>
    </row>
    <row r="44" customFormat="false" ht="15" hidden="false" customHeight="false" outlineLevel="0" collapsed="false">
      <c r="A44" s="11"/>
      <c r="B44" s="10"/>
      <c r="C44" s="8"/>
      <c r="D44" s="8"/>
      <c r="E44" s="14"/>
      <c r="F44" s="8"/>
      <c r="G44" s="2"/>
      <c r="H44" s="2"/>
    </row>
    <row r="45" customFormat="false" ht="15" hidden="false" customHeight="false" outlineLevel="0" collapsed="false">
      <c r="A45" s="11"/>
      <c r="B45" s="10"/>
      <c r="C45" s="8"/>
      <c r="D45" s="8"/>
      <c r="E45" s="14"/>
      <c r="F45" s="8"/>
      <c r="G45" s="2"/>
      <c r="H45" s="2"/>
    </row>
    <row r="46" customFormat="false" ht="15" hidden="false" customHeight="false" outlineLevel="0" collapsed="false">
      <c r="A46" s="11"/>
      <c r="B46" s="10"/>
      <c r="C46" s="8"/>
      <c r="D46" s="8"/>
      <c r="E46" s="14"/>
      <c r="F46" s="8"/>
      <c r="G46" s="2"/>
      <c r="H46" s="2"/>
    </row>
    <row r="47" customFormat="false" ht="15" hidden="false" customHeight="false" outlineLevel="0" collapsed="false">
      <c r="A47" s="11"/>
      <c r="B47" s="10"/>
      <c r="C47" s="8"/>
      <c r="D47" s="8"/>
      <c r="E47" s="14"/>
      <c r="F47" s="8"/>
      <c r="G47" s="2"/>
      <c r="H47" s="2"/>
    </row>
    <row r="48" customFormat="false" ht="15" hidden="false" customHeight="false" outlineLevel="0" collapsed="false">
      <c r="A48" s="11"/>
      <c r="B48" s="10"/>
      <c r="C48" s="8"/>
      <c r="D48" s="8"/>
      <c r="E48" s="14"/>
      <c r="F48" s="8"/>
      <c r="G48" s="2"/>
      <c r="H48" s="2"/>
    </row>
    <row r="49" customFormat="false" ht="15" hidden="false" customHeight="false" outlineLevel="0" collapsed="false">
      <c r="A49" s="11"/>
      <c r="B49" s="10"/>
      <c r="C49" s="8"/>
      <c r="D49" s="8"/>
      <c r="E49" s="14"/>
      <c r="F49" s="8"/>
      <c r="G49" s="2"/>
      <c r="H49" s="2"/>
    </row>
    <row r="50" customFormat="false" ht="15" hidden="false" customHeight="false" outlineLevel="0" collapsed="false">
      <c r="A50" s="11"/>
      <c r="B50" s="10"/>
      <c r="C50" s="8"/>
      <c r="D50" s="8"/>
      <c r="E50" s="14"/>
      <c r="F50" s="8"/>
      <c r="G50" s="2"/>
      <c r="H50" s="2"/>
    </row>
    <row r="51" customFormat="false" ht="15" hidden="false" customHeight="false" outlineLevel="0" collapsed="false">
      <c r="A51" s="11"/>
      <c r="B51" s="10"/>
      <c r="C51" s="8"/>
      <c r="D51" s="8"/>
      <c r="E51" s="14"/>
      <c r="F51" s="8"/>
      <c r="G51" s="2"/>
      <c r="H51" s="2"/>
    </row>
    <row r="52" customFormat="false" ht="15" hidden="false" customHeight="false" outlineLevel="0" collapsed="false">
      <c r="A52" s="11"/>
      <c r="B52" s="10"/>
      <c r="C52" s="8"/>
      <c r="D52" s="8"/>
      <c r="E52" s="14"/>
      <c r="F52" s="8"/>
      <c r="G52" s="2"/>
      <c r="H52" s="2"/>
    </row>
    <row r="53" customFormat="false" ht="15" hidden="false" customHeight="false" outlineLevel="0" collapsed="false">
      <c r="A53" s="11"/>
      <c r="B53" s="10"/>
      <c r="C53" s="8"/>
      <c r="D53" s="8"/>
      <c r="E53" s="14"/>
      <c r="F53" s="8"/>
      <c r="G53" s="2"/>
      <c r="H53" s="2"/>
    </row>
    <row r="54" customFormat="false" ht="15" hidden="false" customHeight="false" outlineLevel="0" collapsed="false">
      <c r="A54" s="11"/>
      <c r="B54" s="10"/>
      <c r="C54" s="8"/>
      <c r="D54" s="8"/>
      <c r="E54" s="14"/>
      <c r="F54" s="8"/>
      <c r="G54" s="2"/>
      <c r="H54" s="2"/>
    </row>
    <row r="55" customFormat="false" ht="15" hidden="false" customHeight="false" outlineLevel="0" collapsed="false">
      <c r="A55" s="11"/>
      <c r="B55" s="10"/>
      <c r="C55" s="8"/>
      <c r="D55" s="8"/>
      <c r="E55" s="14"/>
      <c r="F55" s="8"/>
      <c r="G55" s="2"/>
      <c r="H55" s="2"/>
    </row>
    <row r="56" customFormat="false" ht="15" hidden="false" customHeight="false" outlineLevel="0" collapsed="false">
      <c r="A56" s="11"/>
      <c r="B56" s="10"/>
      <c r="C56" s="8"/>
      <c r="D56" s="8"/>
      <c r="E56" s="14"/>
      <c r="F56" s="8"/>
      <c r="G56" s="2"/>
      <c r="H56" s="2"/>
    </row>
    <row r="57" customFormat="false" ht="15" hidden="false" customHeight="false" outlineLevel="0" collapsed="false">
      <c r="A57" s="11"/>
      <c r="B57" s="10"/>
      <c r="C57" s="8"/>
      <c r="D57" s="8"/>
      <c r="E57" s="14"/>
      <c r="F57" s="8"/>
      <c r="G57" s="2"/>
      <c r="H57" s="2"/>
    </row>
    <row r="58" customFormat="false" ht="15" hidden="false" customHeight="false" outlineLevel="0" collapsed="false">
      <c r="A58" s="11"/>
      <c r="B58" s="10"/>
      <c r="C58" s="8"/>
      <c r="D58" s="8"/>
      <c r="E58" s="14"/>
      <c r="F58" s="8"/>
      <c r="G58" s="2"/>
      <c r="H58" s="2"/>
    </row>
    <row r="59" customFormat="false" ht="15" hidden="false" customHeight="false" outlineLevel="0" collapsed="false">
      <c r="A59" s="11"/>
      <c r="B59" s="10"/>
      <c r="C59" s="8"/>
      <c r="D59" s="8"/>
      <c r="E59" s="14"/>
      <c r="F59" s="8"/>
      <c r="G59" s="2"/>
      <c r="H59" s="2"/>
    </row>
    <row r="60" customFormat="false" ht="15" hidden="false" customHeight="false" outlineLevel="0" collapsed="false">
      <c r="A60" s="11"/>
      <c r="B60" s="10"/>
      <c r="C60" s="8"/>
      <c r="D60" s="8"/>
      <c r="E60" s="14"/>
      <c r="F60" s="8"/>
      <c r="G60" s="2"/>
      <c r="H60" s="2"/>
    </row>
    <row r="61" customFormat="false" ht="15" hidden="false" customHeight="false" outlineLevel="0" collapsed="false">
      <c r="A61" s="11"/>
      <c r="B61" s="10"/>
      <c r="C61" s="8"/>
      <c r="D61" s="8"/>
      <c r="E61" s="14"/>
      <c r="F61" s="8"/>
      <c r="G61" s="2"/>
      <c r="H61" s="2"/>
    </row>
    <row r="62" customFormat="false" ht="15" hidden="false" customHeight="false" outlineLevel="0" collapsed="false">
      <c r="A62" s="11"/>
      <c r="B62" s="10"/>
      <c r="C62" s="8"/>
      <c r="D62" s="8"/>
      <c r="E62" s="14"/>
      <c r="F62" s="8"/>
      <c r="G62" s="2"/>
      <c r="H62" s="2"/>
    </row>
    <row r="63" customFormat="false" ht="15" hidden="false" customHeight="false" outlineLevel="0" collapsed="false">
      <c r="A63" s="11"/>
      <c r="B63" s="10"/>
      <c r="C63" s="8"/>
      <c r="D63" s="8"/>
      <c r="E63" s="14"/>
      <c r="F63" s="8"/>
      <c r="G63" s="2"/>
      <c r="H63" s="2"/>
    </row>
    <row r="64" customFormat="false" ht="15" hidden="false" customHeight="false" outlineLevel="0" collapsed="false">
      <c r="A64" s="11"/>
      <c r="B64" s="10"/>
      <c r="C64" s="8"/>
      <c r="D64" s="8"/>
      <c r="E64" s="14"/>
      <c r="F64" s="8"/>
      <c r="G64" s="2"/>
      <c r="H64" s="2"/>
    </row>
    <row r="65" customFormat="false" ht="15" hidden="false" customHeight="false" outlineLevel="0" collapsed="false">
      <c r="A65" s="11"/>
      <c r="B65" s="10"/>
      <c r="C65" s="8"/>
      <c r="D65" s="8"/>
      <c r="E65" s="14"/>
      <c r="F65" s="8"/>
      <c r="G65" s="2"/>
      <c r="H65" s="2"/>
    </row>
    <row r="66" customFormat="false" ht="15" hidden="false" customHeight="false" outlineLevel="0" collapsed="false">
      <c r="A66" s="11"/>
      <c r="B66" s="10"/>
      <c r="C66" s="8"/>
      <c r="D66" s="8"/>
      <c r="E66" s="14"/>
      <c r="F66" s="8"/>
      <c r="G66" s="2"/>
      <c r="H66" s="2"/>
    </row>
    <row r="67" customFormat="false" ht="15" hidden="false" customHeight="false" outlineLevel="0" collapsed="false">
      <c r="A67" s="11"/>
      <c r="B67" s="10"/>
      <c r="C67" s="8"/>
      <c r="D67" s="8"/>
      <c r="E67" s="14"/>
      <c r="F67" s="8"/>
      <c r="G67" s="2"/>
      <c r="H67" s="2"/>
    </row>
    <row r="68" customFormat="false" ht="15" hidden="false" customHeight="false" outlineLevel="0" collapsed="false">
      <c r="A68" s="11"/>
      <c r="B68" s="10"/>
      <c r="C68" s="8"/>
      <c r="D68" s="8"/>
      <c r="E68" s="14"/>
      <c r="F68" s="8"/>
      <c r="G68" s="2"/>
      <c r="H68" s="2"/>
    </row>
    <row r="69" customFormat="false" ht="15" hidden="false" customHeight="false" outlineLevel="0" collapsed="false">
      <c r="A69" s="11"/>
      <c r="B69" s="10"/>
      <c r="C69" s="8"/>
      <c r="D69" s="8"/>
      <c r="E69" s="14"/>
      <c r="F69" s="8"/>
      <c r="G69" s="2"/>
      <c r="H69" s="2"/>
    </row>
    <row r="70" customFormat="false" ht="15" hidden="false" customHeight="false" outlineLevel="0" collapsed="false">
      <c r="A70" s="11"/>
      <c r="B70" s="10"/>
      <c r="C70" s="8"/>
      <c r="D70" s="8"/>
      <c r="E70" s="14"/>
      <c r="F70" s="8"/>
      <c r="G70" s="2"/>
      <c r="H70" s="2"/>
    </row>
    <row r="71" customFormat="false" ht="15" hidden="false" customHeight="false" outlineLevel="0" collapsed="false">
      <c r="A71" s="11"/>
      <c r="B71" s="10"/>
      <c r="C71" s="8"/>
      <c r="D71" s="8"/>
      <c r="E71" s="14"/>
      <c r="F71" s="8"/>
      <c r="G71" s="2"/>
      <c r="H71" s="2"/>
    </row>
    <row r="72" customFormat="false" ht="15" hidden="false" customHeight="false" outlineLevel="0" collapsed="false">
      <c r="A72" s="11"/>
      <c r="B72" s="10"/>
      <c r="C72" s="8"/>
      <c r="D72" s="8"/>
      <c r="E72" s="14"/>
      <c r="F72" s="8"/>
      <c r="G72" s="2"/>
      <c r="H72" s="2"/>
    </row>
    <row r="73" customFormat="false" ht="15" hidden="false" customHeight="false" outlineLevel="0" collapsed="false">
      <c r="A73" s="11"/>
      <c r="B73" s="10"/>
      <c r="C73" s="8"/>
      <c r="D73" s="8"/>
      <c r="E73" s="14"/>
      <c r="F73" s="8"/>
      <c r="G73" s="2"/>
      <c r="H73" s="2"/>
    </row>
    <row r="74" customFormat="false" ht="15" hidden="false" customHeight="false" outlineLevel="0" collapsed="false">
      <c r="A74" s="11"/>
      <c r="B74" s="10"/>
      <c r="C74" s="8"/>
      <c r="D74" s="8"/>
      <c r="E74" s="14"/>
      <c r="F74" s="8"/>
      <c r="G74" s="2"/>
      <c r="H74" s="2"/>
    </row>
    <row r="75" customFormat="false" ht="15" hidden="false" customHeight="false" outlineLevel="0" collapsed="false">
      <c r="A75" s="11"/>
      <c r="B75" s="10"/>
      <c r="C75" s="8"/>
      <c r="D75" s="8"/>
      <c r="E75" s="14"/>
      <c r="F75" s="8"/>
      <c r="G75" s="2"/>
      <c r="H75" s="2"/>
    </row>
    <row r="76" customFormat="false" ht="15" hidden="false" customHeight="false" outlineLevel="0" collapsed="false">
      <c r="A76" s="11"/>
      <c r="B76" s="10"/>
      <c r="C76" s="8"/>
      <c r="D76" s="8"/>
      <c r="E76" s="14"/>
      <c r="F76" s="8"/>
      <c r="G76" s="2"/>
      <c r="H76" s="2"/>
    </row>
    <row r="77" customFormat="false" ht="15" hidden="false" customHeight="false" outlineLevel="0" collapsed="false">
      <c r="A77" s="11"/>
      <c r="B77" s="10"/>
      <c r="C77" s="8"/>
      <c r="D77" s="8"/>
      <c r="E77" s="14"/>
      <c r="F77" s="8"/>
      <c r="G77" s="2"/>
      <c r="H77" s="2"/>
    </row>
    <row r="78" customFormat="false" ht="15" hidden="false" customHeight="false" outlineLevel="0" collapsed="false">
      <c r="A78" s="11"/>
      <c r="B78" s="10"/>
      <c r="C78" s="8"/>
      <c r="D78" s="8"/>
      <c r="E78" s="14"/>
      <c r="F78" s="8"/>
      <c r="G78" s="2"/>
      <c r="H78" s="2"/>
    </row>
    <row r="79" customFormat="false" ht="15" hidden="false" customHeight="false" outlineLevel="0" collapsed="false">
      <c r="A79" s="11"/>
      <c r="B79" s="10"/>
      <c r="C79" s="8"/>
      <c r="D79" s="8"/>
      <c r="E79" s="14"/>
      <c r="F79" s="8"/>
      <c r="G79" s="2"/>
      <c r="H79" s="2"/>
    </row>
    <row r="80" customFormat="false" ht="15" hidden="false" customHeight="false" outlineLevel="0" collapsed="false">
      <c r="A80" s="11"/>
      <c r="B80" s="10"/>
      <c r="C80" s="8"/>
      <c r="D80" s="8"/>
      <c r="E80" s="14"/>
      <c r="F80" s="8"/>
      <c r="G80" s="2"/>
      <c r="H80" s="2"/>
    </row>
    <row r="81" customFormat="false" ht="15" hidden="false" customHeight="false" outlineLevel="0" collapsed="false">
      <c r="A81" s="11"/>
      <c r="B81" s="10"/>
      <c r="C81" s="8"/>
      <c r="D81" s="8"/>
      <c r="E81" s="14"/>
      <c r="F81" s="8"/>
      <c r="G81" s="2"/>
      <c r="H81" s="2"/>
    </row>
    <row r="82" customFormat="false" ht="15" hidden="false" customHeight="false" outlineLevel="0" collapsed="false">
      <c r="A82" s="11"/>
      <c r="B82" s="10"/>
      <c r="C82" s="8"/>
      <c r="D82" s="8"/>
      <c r="E82" s="14"/>
      <c r="F82" s="8"/>
      <c r="G82" s="2"/>
      <c r="H82" s="2"/>
    </row>
    <row r="83" customFormat="false" ht="15" hidden="false" customHeight="false" outlineLevel="0" collapsed="false">
      <c r="A83" s="11"/>
      <c r="B83" s="10"/>
      <c r="C83" s="8"/>
      <c r="D83" s="8"/>
      <c r="E83" s="14"/>
      <c r="F83" s="8"/>
      <c r="G83" s="2"/>
      <c r="H83" s="2"/>
    </row>
    <row r="84" customFormat="false" ht="15" hidden="false" customHeight="false" outlineLevel="0" collapsed="false">
      <c r="A84" s="11"/>
      <c r="B84" s="10"/>
      <c r="C84" s="8"/>
      <c r="D84" s="8"/>
      <c r="E84" s="14"/>
      <c r="F84" s="8"/>
      <c r="G84" s="2"/>
      <c r="H84" s="2"/>
    </row>
    <row r="85" customFormat="false" ht="15" hidden="false" customHeight="false" outlineLevel="0" collapsed="false">
      <c r="A85" s="11"/>
      <c r="B85" s="10"/>
      <c r="C85" s="8"/>
      <c r="D85" s="8"/>
      <c r="E85" s="14"/>
      <c r="F85" s="8"/>
      <c r="G85" s="2"/>
      <c r="H85" s="2"/>
    </row>
    <row r="86" customFormat="false" ht="15" hidden="false" customHeight="false" outlineLevel="0" collapsed="false">
      <c r="A86" s="11"/>
      <c r="B86" s="10"/>
      <c r="C86" s="8"/>
      <c r="D86" s="8"/>
      <c r="E86" s="14"/>
      <c r="F86" s="8"/>
      <c r="G86" s="2"/>
      <c r="H86" s="2"/>
    </row>
    <row r="87" customFormat="false" ht="15" hidden="false" customHeight="false" outlineLevel="0" collapsed="false">
      <c r="A87" s="11"/>
      <c r="B87" s="10"/>
      <c r="C87" s="8"/>
      <c r="D87" s="8"/>
      <c r="E87" s="14"/>
      <c r="F87" s="8"/>
      <c r="G87" s="2"/>
      <c r="H87" s="2"/>
    </row>
    <row r="88" customFormat="false" ht="15" hidden="false" customHeight="false" outlineLevel="0" collapsed="false">
      <c r="A88" s="11"/>
      <c r="B88" s="10"/>
      <c r="C88" s="8"/>
      <c r="D88" s="8"/>
      <c r="E88" s="14"/>
      <c r="F88" s="8"/>
      <c r="G88" s="2"/>
      <c r="H88" s="2"/>
    </row>
    <row r="89" customFormat="false" ht="15" hidden="false" customHeight="false" outlineLevel="0" collapsed="false">
      <c r="A89" s="11"/>
      <c r="B89" s="10"/>
      <c r="C89" s="8"/>
      <c r="D89" s="8"/>
      <c r="E89" s="14"/>
      <c r="F89" s="8"/>
      <c r="G89" s="2"/>
      <c r="H89" s="2"/>
    </row>
    <row r="90" customFormat="false" ht="15" hidden="false" customHeight="false" outlineLevel="0" collapsed="false">
      <c r="A90" s="11"/>
      <c r="B90" s="10"/>
      <c r="C90" s="8"/>
      <c r="D90" s="8"/>
      <c r="E90" s="14"/>
      <c r="F90" s="8"/>
      <c r="G90" s="2"/>
      <c r="H90" s="2"/>
    </row>
    <row r="91" customFormat="false" ht="15" hidden="false" customHeight="false" outlineLevel="0" collapsed="false">
      <c r="A91" s="11"/>
      <c r="B91" s="10"/>
      <c r="C91" s="8"/>
      <c r="D91" s="8"/>
      <c r="E91" s="14"/>
      <c r="F91" s="8"/>
      <c r="G91" s="2"/>
      <c r="H91" s="2"/>
    </row>
    <row r="92" customFormat="false" ht="15" hidden="false" customHeight="false" outlineLevel="0" collapsed="false">
      <c r="A92" s="11"/>
      <c r="B92" s="10"/>
      <c r="C92" s="8"/>
      <c r="D92" s="8"/>
      <c r="E92" s="14"/>
      <c r="F92" s="8"/>
      <c r="G92" s="2"/>
      <c r="H92" s="2"/>
    </row>
    <row r="93" customFormat="false" ht="15" hidden="false" customHeight="false" outlineLevel="0" collapsed="false">
      <c r="A93" s="11"/>
      <c r="B93" s="10"/>
      <c r="C93" s="8"/>
      <c r="D93" s="8"/>
      <c r="E93" s="14"/>
      <c r="F93" s="8"/>
      <c r="G93" s="2"/>
      <c r="H93" s="2"/>
    </row>
    <row r="94" customFormat="false" ht="15" hidden="false" customHeight="false" outlineLevel="0" collapsed="false">
      <c r="A94" s="11"/>
      <c r="B94" s="10"/>
      <c r="C94" s="8"/>
      <c r="D94" s="8"/>
      <c r="E94" s="14"/>
      <c r="F94" s="8"/>
      <c r="G94" s="2"/>
      <c r="H94" s="2"/>
    </row>
    <row r="95" customFormat="false" ht="15" hidden="false" customHeight="false" outlineLevel="0" collapsed="false">
      <c r="A95" s="11"/>
      <c r="B95" s="10"/>
      <c r="C95" s="8"/>
      <c r="D95" s="8"/>
      <c r="E95" s="14"/>
      <c r="F95" s="8"/>
      <c r="G95" s="2"/>
      <c r="H95" s="2"/>
    </row>
    <row r="96" customFormat="false" ht="15" hidden="false" customHeight="false" outlineLevel="0" collapsed="false">
      <c r="A96" s="11"/>
      <c r="B96" s="10"/>
      <c r="C96" s="8"/>
      <c r="D96" s="8"/>
      <c r="E96" s="14"/>
      <c r="F96" s="8"/>
      <c r="G96" s="2"/>
      <c r="H96" s="2"/>
    </row>
    <row r="97" customFormat="false" ht="15" hidden="false" customHeight="false" outlineLevel="0" collapsed="false">
      <c r="A97" s="11"/>
      <c r="B97" s="10"/>
      <c r="C97" s="8"/>
      <c r="D97" s="8"/>
      <c r="E97" s="14"/>
      <c r="F97" s="8"/>
      <c r="G97" s="2"/>
      <c r="H97" s="2"/>
    </row>
    <row r="98" customFormat="false" ht="15" hidden="false" customHeight="false" outlineLevel="0" collapsed="false">
      <c r="A98" s="11"/>
      <c r="B98" s="10"/>
      <c r="C98" s="8"/>
      <c r="D98" s="8"/>
      <c r="E98" s="14"/>
      <c r="F98" s="8"/>
      <c r="G98" s="2"/>
      <c r="H98" s="2"/>
    </row>
    <row r="99" customFormat="false" ht="15" hidden="false" customHeight="false" outlineLevel="0" collapsed="false">
      <c r="A99" s="11"/>
      <c r="B99" s="10"/>
      <c r="C99" s="8"/>
      <c r="D99" s="8"/>
      <c r="E99" s="14"/>
      <c r="F99" s="8"/>
      <c r="G99" s="2"/>
      <c r="H99" s="2"/>
    </row>
    <row r="100" customFormat="false" ht="15" hidden="false" customHeight="false" outlineLevel="0" collapsed="false">
      <c r="A100" s="11"/>
      <c r="B100" s="10"/>
      <c r="C100" s="8"/>
      <c r="D100" s="8"/>
      <c r="E100" s="14"/>
      <c r="F100" s="8"/>
      <c r="G100" s="2"/>
      <c r="H100" s="2"/>
    </row>
    <row r="101" customFormat="false" ht="15" hidden="false" customHeight="false" outlineLevel="0" collapsed="false">
      <c r="A101" s="11"/>
      <c r="B101" s="10"/>
      <c r="C101" s="8"/>
      <c r="D101" s="8"/>
      <c r="E101" s="14"/>
      <c r="F101" s="8"/>
      <c r="G101" s="2"/>
      <c r="H101" s="2"/>
    </row>
    <row r="102" customFormat="false" ht="15" hidden="false" customHeight="false" outlineLevel="0" collapsed="false">
      <c r="A102" s="11"/>
      <c r="B102" s="10"/>
      <c r="C102" s="8"/>
      <c r="D102" s="8"/>
      <c r="E102" s="14"/>
      <c r="F102" s="8"/>
      <c r="G102" s="2"/>
      <c r="H102" s="2"/>
    </row>
    <row r="103" customFormat="false" ht="15" hidden="false" customHeight="false" outlineLevel="0" collapsed="false">
      <c r="A103" s="11"/>
      <c r="B103" s="10"/>
      <c r="C103" s="8"/>
      <c r="D103" s="8"/>
      <c r="E103" s="14"/>
      <c r="F103" s="8"/>
      <c r="G103" s="2"/>
      <c r="H103" s="2"/>
    </row>
    <row r="104" customFormat="false" ht="15" hidden="false" customHeight="false" outlineLevel="0" collapsed="false">
      <c r="A104" s="11"/>
      <c r="B104" s="10"/>
      <c r="C104" s="8"/>
      <c r="D104" s="8"/>
      <c r="E104" s="14"/>
      <c r="F104" s="8"/>
      <c r="G104" s="2"/>
      <c r="H104" s="2"/>
    </row>
    <row r="105" customFormat="false" ht="15" hidden="false" customHeight="false" outlineLevel="0" collapsed="false">
      <c r="A105" s="11"/>
      <c r="B105" s="10"/>
      <c r="C105" s="8"/>
      <c r="D105" s="8"/>
      <c r="E105" s="14"/>
      <c r="F105" s="8"/>
      <c r="G105" s="2"/>
      <c r="H105" s="2"/>
    </row>
    <row r="106" customFormat="false" ht="15" hidden="false" customHeight="false" outlineLevel="0" collapsed="false">
      <c r="A106" s="11"/>
      <c r="B106" s="10"/>
      <c r="C106" s="8"/>
      <c r="D106" s="8"/>
      <c r="E106" s="14"/>
      <c r="F106" s="8"/>
      <c r="G106" s="2"/>
      <c r="H106" s="2"/>
    </row>
    <row r="107" customFormat="false" ht="15" hidden="false" customHeight="false" outlineLevel="0" collapsed="false">
      <c r="A107" s="11"/>
      <c r="B107" s="10"/>
      <c r="C107" s="8"/>
      <c r="D107" s="8"/>
      <c r="E107" s="14"/>
      <c r="F107" s="8"/>
      <c r="G107" s="2"/>
      <c r="H107" s="2"/>
    </row>
    <row r="108" customFormat="false" ht="15" hidden="false" customHeight="false" outlineLevel="0" collapsed="false">
      <c r="A108" s="11"/>
      <c r="B108" s="10"/>
      <c r="C108" s="8"/>
      <c r="D108" s="8"/>
      <c r="E108" s="14"/>
      <c r="F108" s="8"/>
      <c r="G108" s="2"/>
      <c r="H108" s="2"/>
    </row>
    <row r="109" customFormat="false" ht="15" hidden="false" customHeight="false" outlineLevel="0" collapsed="false">
      <c r="A109" s="11"/>
      <c r="B109" s="10"/>
      <c r="C109" s="8"/>
      <c r="D109" s="8"/>
      <c r="E109" s="14"/>
      <c r="F109" s="8"/>
      <c r="G109" s="2"/>
      <c r="H109" s="2"/>
    </row>
    <row r="110" customFormat="false" ht="15" hidden="false" customHeight="false" outlineLevel="0" collapsed="false">
      <c r="A110" s="11"/>
      <c r="B110" s="10"/>
      <c r="C110" s="8"/>
      <c r="D110" s="8"/>
      <c r="E110" s="14"/>
      <c r="F110" s="8"/>
      <c r="G110" s="2"/>
      <c r="H110" s="2"/>
    </row>
    <row r="111" customFormat="false" ht="15" hidden="false" customHeight="false" outlineLevel="0" collapsed="false">
      <c r="A111" s="11"/>
      <c r="B111" s="10"/>
      <c r="C111" s="8"/>
      <c r="D111" s="8"/>
      <c r="E111" s="14"/>
      <c r="F111" s="8"/>
      <c r="G111" s="2"/>
      <c r="H111" s="2"/>
    </row>
    <row r="112" customFormat="false" ht="15" hidden="false" customHeight="false" outlineLevel="0" collapsed="false">
      <c r="A112" s="11"/>
      <c r="B112" s="10"/>
      <c r="C112" s="8"/>
      <c r="D112" s="8"/>
      <c r="E112" s="14"/>
      <c r="F112" s="8"/>
      <c r="G112" s="2"/>
      <c r="H112" s="2"/>
    </row>
    <row r="113" customFormat="false" ht="15" hidden="false" customHeight="false" outlineLevel="0" collapsed="false">
      <c r="A113" s="11"/>
      <c r="B113" s="10"/>
      <c r="C113" s="8"/>
      <c r="D113" s="8"/>
      <c r="E113" s="14"/>
      <c r="F113" s="8"/>
      <c r="G113" s="2"/>
      <c r="H113" s="2"/>
    </row>
    <row r="114" customFormat="false" ht="15" hidden="false" customHeight="false" outlineLevel="0" collapsed="false">
      <c r="A114" s="11"/>
      <c r="B114" s="10"/>
      <c r="C114" s="8"/>
      <c r="D114" s="8"/>
      <c r="E114" s="14"/>
      <c r="F114" s="8"/>
      <c r="G114" s="2"/>
      <c r="H114" s="2"/>
    </row>
    <row r="115" customFormat="false" ht="15" hidden="false" customHeight="false" outlineLevel="0" collapsed="false">
      <c r="A115" s="11"/>
      <c r="B115" s="10"/>
      <c r="C115" s="8"/>
      <c r="D115" s="8"/>
      <c r="E115" s="14"/>
      <c r="F115" s="8"/>
      <c r="G115" s="2"/>
      <c r="H115" s="2"/>
    </row>
    <row r="116" customFormat="false" ht="15" hidden="false" customHeight="false" outlineLevel="0" collapsed="false">
      <c r="A116" s="11"/>
      <c r="B116" s="10"/>
      <c r="C116" s="8"/>
      <c r="D116" s="8"/>
      <c r="E116" s="14"/>
      <c r="F116" s="8"/>
      <c r="G116" s="2"/>
      <c r="H116" s="2"/>
    </row>
    <row r="117" customFormat="false" ht="15" hidden="false" customHeight="false" outlineLevel="0" collapsed="false">
      <c r="A117" s="11"/>
      <c r="B117" s="10"/>
      <c r="C117" s="8"/>
      <c r="D117" s="8"/>
      <c r="E117" s="14"/>
      <c r="F117" s="8"/>
      <c r="G117" s="2"/>
      <c r="H117" s="2"/>
    </row>
    <row r="118" customFormat="false" ht="15" hidden="false" customHeight="false" outlineLevel="0" collapsed="false">
      <c r="A118" s="11"/>
      <c r="B118" s="10"/>
      <c r="C118" s="8"/>
      <c r="D118" s="8"/>
      <c r="E118" s="14"/>
      <c r="F118" s="8"/>
      <c r="G118" s="2"/>
      <c r="H118" s="2"/>
    </row>
    <row r="119" customFormat="false" ht="15" hidden="false" customHeight="false" outlineLevel="0" collapsed="false">
      <c r="A119" s="11"/>
      <c r="B119" s="10"/>
      <c r="C119" s="8"/>
      <c r="D119" s="8"/>
      <c r="E119" s="14"/>
      <c r="F119" s="8"/>
      <c r="G119" s="2"/>
      <c r="H119" s="2"/>
    </row>
    <row r="120" customFormat="false" ht="15" hidden="false" customHeight="false" outlineLevel="0" collapsed="false">
      <c r="A120" s="11"/>
      <c r="B120" s="10"/>
      <c r="C120" s="8"/>
      <c r="D120" s="8"/>
      <c r="E120" s="14"/>
      <c r="F120" s="8"/>
      <c r="G120" s="2"/>
      <c r="H120" s="2"/>
    </row>
    <row r="121" customFormat="false" ht="15" hidden="false" customHeight="false" outlineLevel="0" collapsed="false">
      <c r="A121" s="11"/>
      <c r="B121" s="10"/>
      <c r="C121" s="8"/>
      <c r="D121" s="8"/>
      <c r="E121" s="14"/>
      <c r="F121" s="8"/>
      <c r="G121" s="2"/>
      <c r="H121" s="2"/>
    </row>
    <row r="122" customFormat="false" ht="15" hidden="false" customHeight="false" outlineLevel="0" collapsed="false">
      <c r="A122" s="11"/>
      <c r="B122" s="10"/>
      <c r="C122" s="8"/>
      <c r="D122" s="8"/>
      <c r="E122" s="14"/>
      <c r="F122" s="8"/>
      <c r="G122" s="2"/>
      <c r="H122" s="2"/>
    </row>
    <row r="123" customFormat="false" ht="15" hidden="false" customHeight="false" outlineLevel="0" collapsed="false">
      <c r="A123" s="11"/>
      <c r="B123" s="10"/>
      <c r="C123" s="8"/>
      <c r="D123" s="8"/>
      <c r="E123" s="14"/>
      <c r="F123" s="8"/>
      <c r="G123" s="2"/>
      <c r="H123" s="2"/>
    </row>
    <row r="124" customFormat="false" ht="15" hidden="false" customHeight="false" outlineLevel="0" collapsed="false">
      <c r="A124" s="11"/>
      <c r="B124" s="10"/>
      <c r="C124" s="8"/>
      <c r="D124" s="8"/>
      <c r="E124" s="14"/>
      <c r="F124" s="8"/>
      <c r="G124" s="2"/>
      <c r="H124" s="2"/>
    </row>
    <row r="125" customFormat="false" ht="15" hidden="false" customHeight="false" outlineLevel="0" collapsed="false">
      <c r="A125" s="11"/>
      <c r="B125" s="10"/>
      <c r="C125" s="8"/>
      <c r="D125" s="8"/>
      <c r="E125" s="14"/>
      <c r="F125" s="8"/>
      <c r="G125" s="2"/>
      <c r="H125" s="2"/>
    </row>
    <row r="126" customFormat="false" ht="15" hidden="false" customHeight="false" outlineLevel="0" collapsed="false">
      <c r="A126" s="11"/>
      <c r="B126" s="10"/>
      <c r="C126" s="8"/>
      <c r="D126" s="8"/>
      <c r="E126" s="14"/>
      <c r="F126" s="8"/>
      <c r="G126" s="2"/>
      <c r="H126" s="2"/>
    </row>
    <row r="127" customFormat="false" ht="15" hidden="false" customHeight="false" outlineLevel="0" collapsed="false">
      <c r="A127" s="11"/>
      <c r="B127" s="10"/>
      <c r="C127" s="8"/>
      <c r="D127" s="8"/>
      <c r="E127" s="14"/>
      <c r="F127" s="8"/>
      <c r="G127" s="2"/>
      <c r="H127" s="2"/>
    </row>
    <row r="128" customFormat="false" ht="15" hidden="false" customHeight="false" outlineLevel="0" collapsed="false">
      <c r="A128" s="11"/>
      <c r="B128" s="10"/>
      <c r="C128" s="8"/>
      <c r="D128" s="8"/>
      <c r="E128" s="14"/>
      <c r="F128" s="8"/>
      <c r="G128" s="2"/>
      <c r="H128" s="2"/>
    </row>
    <row r="129" customFormat="false" ht="15" hidden="false" customHeight="false" outlineLevel="0" collapsed="false">
      <c r="A129" s="11"/>
      <c r="B129" s="10"/>
      <c r="C129" s="8"/>
      <c r="D129" s="8"/>
      <c r="E129" s="14"/>
      <c r="F129" s="8"/>
      <c r="G129" s="2"/>
      <c r="H129" s="2"/>
    </row>
    <row r="130" customFormat="false" ht="15" hidden="false" customHeight="false" outlineLevel="0" collapsed="false">
      <c r="A130" s="11"/>
      <c r="B130" s="10"/>
      <c r="C130" s="8"/>
      <c r="D130" s="8"/>
      <c r="E130" s="14"/>
      <c r="F130" s="8"/>
      <c r="G130" s="2"/>
      <c r="H130" s="2"/>
    </row>
    <row r="131" customFormat="false" ht="15" hidden="false" customHeight="false" outlineLevel="0" collapsed="false">
      <c r="A131" s="11"/>
      <c r="B131" s="10"/>
      <c r="C131" s="8"/>
      <c r="D131" s="8"/>
      <c r="E131" s="14"/>
      <c r="F131" s="8"/>
      <c r="G131" s="2"/>
      <c r="H131" s="2"/>
    </row>
    <row r="132" customFormat="false" ht="15" hidden="false" customHeight="false" outlineLevel="0" collapsed="false">
      <c r="A132" s="11"/>
      <c r="B132" s="10"/>
      <c r="C132" s="8"/>
      <c r="D132" s="8"/>
      <c r="E132" s="14"/>
      <c r="F132" s="8"/>
      <c r="G132" s="2"/>
      <c r="H132" s="2"/>
    </row>
    <row r="133" customFormat="false" ht="15" hidden="false" customHeight="false" outlineLevel="0" collapsed="false">
      <c r="A133" s="11"/>
      <c r="B133" s="10"/>
      <c r="C133" s="8"/>
      <c r="D133" s="8"/>
      <c r="E133" s="14"/>
      <c r="F133" s="8"/>
      <c r="G133" s="2"/>
      <c r="H133" s="2"/>
    </row>
    <row r="134" customFormat="false" ht="15" hidden="false" customHeight="false" outlineLevel="0" collapsed="false">
      <c r="A134" s="11"/>
      <c r="B134" s="10"/>
      <c r="C134" s="8"/>
      <c r="D134" s="8"/>
      <c r="E134" s="14"/>
      <c r="F134" s="8"/>
      <c r="G134" s="2"/>
      <c r="H134" s="2"/>
    </row>
    <row r="135" customFormat="false" ht="15" hidden="false" customHeight="false" outlineLevel="0" collapsed="false">
      <c r="A135" s="11"/>
      <c r="B135" s="10"/>
      <c r="C135" s="8"/>
      <c r="D135" s="8"/>
      <c r="E135" s="14"/>
      <c r="F135" s="8"/>
      <c r="G135" s="2"/>
      <c r="H135" s="2"/>
    </row>
    <row r="136" customFormat="false" ht="15" hidden="false" customHeight="false" outlineLevel="0" collapsed="false">
      <c r="A136" s="11"/>
      <c r="B136" s="10"/>
      <c r="C136" s="8"/>
      <c r="D136" s="8"/>
      <c r="E136" s="14"/>
      <c r="F136" s="8"/>
      <c r="G136" s="2"/>
      <c r="H136" s="2"/>
    </row>
    <row r="137" customFormat="false" ht="15" hidden="false" customHeight="false" outlineLevel="0" collapsed="false">
      <c r="A137" s="11"/>
      <c r="B137" s="10"/>
      <c r="C137" s="8"/>
      <c r="D137" s="8"/>
      <c r="E137" s="14"/>
      <c r="F137" s="8"/>
      <c r="G137" s="2"/>
      <c r="H137" s="2"/>
    </row>
    <row r="138" customFormat="false" ht="15" hidden="false" customHeight="false" outlineLevel="0" collapsed="false">
      <c r="A138" s="11"/>
      <c r="B138" s="10"/>
      <c r="C138" s="8"/>
      <c r="D138" s="8"/>
      <c r="E138" s="14"/>
      <c r="F138" s="8"/>
      <c r="G138" s="2"/>
      <c r="H138" s="2"/>
    </row>
    <row r="139" customFormat="false" ht="15" hidden="false" customHeight="false" outlineLevel="0" collapsed="false">
      <c r="A139" s="11"/>
      <c r="B139" s="10"/>
      <c r="C139" s="8"/>
      <c r="D139" s="8"/>
      <c r="E139" s="14"/>
      <c r="F139" s="8"/>
      <c r="G139" s="2"/>
      <c r="H139" s="2"/>
    </row>
    <row r="140" customFormat="false" ht="15" hidden="false" customHeight="false" outlineLevel="0" collapsed="false">
      <c r="A140" s="11"/>
      <c r="B140" s="10"/>
      <c r="C140" s="8"/>
      <c r="D140" s="8"/>
      <c r="E140" s="14"/>
      <c r="F140" s="8"/>
      <c r="G140" s="2"/>
      <c r="H140" s="2"/>
    </row>
    <row r="141" customFormat="false" ht="15" hidden="false" customHeight="false" outlineLevel="0" collapsed="false">
      <c r="A141" s="11"/>
      <c r="B141" s="10"/>
      <c r="C141" s="8"/>
      <c r="D141" s="8"/>
      <c r="E141" s="14"/>
      <c r="F141" s="8"/>
      <c r="G141" s="2"/>
      <c r="H141" s="2"/>
    </row>
    <row r="142" customFormat="false" ht="15" hidden="false" customHeight="false" outlineLevel="0" collapsed="false">
      <c r="A142" s="11"/>
      <c r="B142" s="10"/>
      <c r="C142" s="8"/>
      <c r="D142" s="8"/>
      <c r="E142" s="14"/>
      <c r="F142" s="8"/>
      <c r="G142" s="2"/>
      <c r="H142" s="2"/>
    </row>
    <row r="143" customFormat="false" ht="15" hidden="false" customHeight="false" outlineLevel="0" collapsed="false">
      <c r="A143" s="11"/>
      <c r="B143" s="10"/>
      <c r="C143" s="8"/>
      <c r="D143" s="8"/>
      <c r="E143" s="14"/>
      <c r="F143" s="8"/>
      <c r="G143" s="2"/>
      <c r="H143" s="2"/>
    </row>
    <row r="144" customFormat="false" ht="15" hidden="false" customHeight="false" outlineLevel="0" collapsed="false">
      <c r="A144" s="11"/>
      <c r="B144" s="10"/>
      <c r="C144" s="8"/>
      <c r="D144" s="8"/>
      <c r="E144" s="14"/>
      <c r="F144" s="8"/>
      <c r="G144" s="2"/>
      <c r="H144" s="2"/>
    </row>
    <row r="145" customFormat="false" ht="15" hidden="false" customHeight="false" outlineLevel="0" collapsed="false">
      <c r="A145" s="11"/>
      <c r="B145" s="10"/>
      <c r="C145" s="8"/>
      <c r="D145" s="8"/>
      <c r="E145" s="14"/>
      <c r="F145" s="8"/>
      <c r="G145" s="2"/>
      <c r="H145" s="2"/>
    </row>
    <row r="146" customFormat="false" ht="15" hidden="false" customHeight="false" outlineLevel="0" collapsed="false">
      <c r="A146" s="11"/>
      <c r="B146" s="10"/>
      <c r="C146" s="8"/>
      <c r="D146" s="8"/>
      <c r="E146" s="14"/>
      <c r="F146" s="8"/>
      <c r="G146" s="2"/>
      <c r="H146" s="2"/>
    </row>
    <row r="147" customFormat="false" ht="15" hidden="false" customHeight="false" outlineLevel="0" collapsed="false">
      <c r="A147" s="11"/>
      <c r="B147" s="10"/>
      <c r="C147" s="8"/>
      <c r="D147" s="8"/>
      <c r="E147" s="14"/>
      <c r="F147" s="8"/>
      <c r="G147" s="2"/>
      <c r="H147" s="2"/>
    </row>
    <row r="148" customFormat="false" ht="15" hidden="false" customHeight="false" outlineLevel="0" collapsed="false">
      <c r="A148" s="11"/>
      <c r="B148" s="10"/>
      <c r="C148" s="8"/>
      <c r="D148" s="8"/>
      <c r="E148" s="14"/>
      <c r="F148" s="8"/>
      <c r="G148" s="2"/>
      <c r="H148" s="2"/>
    </row>
    <row r="149" customFormat="false" ht="15" hidden="false" customHeight="false" outlineLevel="0" collapsed="false">
      <c r="A149" s="11"/>
      <c r="B149" s="10"/>
      <c r="C149" s="8"/>
      <c r="D149" s="8"/>
      <c r="E149" s="14"/>
      <c r="F149" s="8"/>
      <c r="G149" s="2"/>
      <c r="H149" s="2"/>
    </row>
    <row r="150" customFormat="false" ht="15" hidden="false" customHeight="false" outlineLevel="0" collapsed="false">
      <c r="A150" s="11"/>
      <c r="B150" s="10"/>
      <c r="C150" s="8"/>
      <c r="D150" s="8"/>
      <c r="E150" s="14"/>
      <c r="F150" s="8"/>
      <c r="G150" s="2"/>
      <c r="H150" s="2"/>
    </row>
    <row r="151" customFormat="false" ht="15" hidden="false" customHeight="false" outlineLevel="0" collapsed="false">
      <c r="A151" s="11"/>
      <c r="B151" s="10"/>
      <c r="C151" s="8"/>
      <c r="D151" s="8"/>
      <c r="E151" s="14"/>
      <c r="F151" s="8"/>
      <c r="G151" s="2"/>
      <c r="H151" s="2"/>
    </row>
    <row r="152" customFormat="false" ht="15" hidden="false" customHeight="false" outlineLevel="0" collapsed="false">
      <c r="A152" s="11"/>
      <c r="B152" s="10"/>
      <c r="C152" s="8"/>
      <c r="D152" s="8"/>
      <c r="E152" s="14"/>
      <c r="F152" s="8"/>
      <c r="G152" s="2"/>
      <c r="H152" s="2"/>
    </row>
    <row r="153" customFormat="false" ht="15" hidden="false" customHeight="false" outlineLevel="0" collapsed="false">
      <c r="A153" s="11"/>
      <c r="B153" s="10"/>
      <c r="C153" s="8"/>
      <c r="D153" s="8"/>
      <c r="E153" s="14"/>
      <c r="F153" s="8"/>
      <c r="G153" s="2"/>
      <c r="H153" s="2"/>
    </row>
    <row r="154" customFormat="false" ht="15" hidden="false" customHeight="false" outlineLevel="0" collapsed="false">
      <c r="A154" s="11"/>
      <c r="B154" s="10"/>
      <c r="C154" s="8"/>
      <c r="D154" s="8"/>
      <c r="E154" s="14"/>
      <c r="F154" s="8"/>
      <c r="G154" s="2"/>
      <c r="H154" s="2"/>
    </row>
    <row r="155" customFormat="false" ht="15" hidden="false" customHeight="false" outlineLevel="0" collapsed="false">
      <c r="A155" s="11"/>
      <c r="B155" s="10"/>
      <c r="C155" s="8"/>
      <c r="D155" s="8"/>
      <c r="E155" s="14"/>
      <c r="F155" s="8"/>
      <c r="G155" s="2"/>
      <c r="H155" s="2"/>
    </row>
    <row r="156" customFormat="false" ht="15" hidden="false" customHeight="false" outlineLevel="0" collapsed="false">
      <c r="A156" s="11"/>
      <c r="B156" s="10"/>
      <c r="C156" s="8"/>
      <c r="D156" s="8"/>
      <c r="E156" s="14"/>
      <c r="F156" s="8"/>
      <c r="G156" s="2"/>
      <c r="H156" s="2"/>
    </row>
    <row r="157" customFormat="false" ht="15" hidden="false" customHeight="false" outlineLevel="0" collapsed="false">
      <c r="A157" s="11"/>
      <c r="B157" s="10"/>
      <c r="C157" s="8"/>
      <c r="D157" s="8"/>
      <c r="E157" s="14"/>
      <c r="F157" s="8"/>
      <c r="G157" s="2"/>
      <c r="H157" s="2"/>
    </row>
    <row r="158" customFormat="false" ht="15" hidden="false" customHeight="false" outlineLevel="0" collapsed="false">
      <c r="A158" s="11"/>
      <c r="B158" s="10"/>
      <c r="C158" s="8"/>
      <c r="D158" s="8"/>
      <c r="E158" s="14"/>
      <c r="F158" s="8"/>
      <c r="G158" s="2"/>
      <c r="H158" s="2"/>
    </row>
    <row r="159" customFormat="false" ht="15" hidden="false" customHeight="false" outlineLevel="0" collapsed="false">
      <c r="A159" s="11"/>
      <c r="B159" s="10"/>
      <c r="C159" s="8"/>
      <c r="D159" s="8"/>
      <c r="E159" s="14"/>
      <c r="F159" s="8"/>
      <c r="G159" s="2"/>
      <c r="H159" s="2"/>
    </row>
    <row r="160" customFormat="false" ht="15" hidden="false" customHeight="false" outlineLevel="0" collapsed="false">
      <c r="A160" s="11"/>
      <c r="B160" s="10"/>
      <c r="C160" s="8"/>
      <c r="D160" s="8"/>
      <c r="E160" s="14"/>
      <c r="F160" s="8"/>
      <c r="G160" s="2"/>
      <c r="H160" s="2"/>
    </row>
    <row r="161" customFormat="false" ht="15" hidden="false" customHeight="false" outlineLevel="0" collapsed="false">
      <c r="A161" s="11"/>
      <c r="B161" s="10"/>
      <c r="C161" s="8"/>
      <c r="D161" s="8"/>
      <c r="E161" s="14"/>
      <c r="F161" s="8"/>
      <c r="G161" s="2"/>
      <c r="H161" s="2"/>
    </row>
    <row r="162" customFormat="false" ht="15" hidden="false" customHeight="false" outlineLevel="0" collapsed="false">
      <c r="A162" s="11"/>
      <c r="B162" s="10"/>
      <c r="C162" s="8"/>
      <c r="D162" s="8"/>
      <c r="E162" s="14"/>
      <c r="F162" s="8"/>
      <c r="G162" s="2"/>
      <c r="H162" s="2"/>
    </row>
    <row r="163" customFormat="false" ht="15" hidden="false" customHeight="false" outlineLevel="0" collapsed="false">
      <c r="A163" s="11"/>
      <c r="B163" s="10"/>
      <c r="C163" s="8"/>
      <c r="D163" s="8"/>
      <c r="E163" s="14"/>
      <c r="F163" s="8"/>
      <c r="G163" s="2"/>
      <c r="H163" s="2"/>
    </row>
    <row r="164" customFormat="false" ht="15" hidden="false" customHeight="false" outlineLevel="0" collapsed="false">
      <c r="A164" s="11"/>
      <c r="B164" s="10"/>
      <c r="C164" s="8"/>
      <c r="D164" s="8"/>
      <c r="E164" s="14"/>
      <c r="F164" s="8"/>
      <c r="G164" s="2"/>
      <c r="H164" s="2"/>
    </row>
    <row r="165" customFormat="false" ht="15" hidden="false" customHeight="false" outlineLevel="0" collapsed="false">
      <c r="A165" s="11"/>
      <c r="B165" s="10"/>
      <c r="C165" s="8"/>
      <c r="D165" s="8"/>
      <c r="E165" s="14"/>
      <c r="F165" s="8"/>
      <c r="G165" s="2"/>
      <c r="H165" s="2"/>
    </row>
    <row r="166" customFormat="false" ht="15" hidden="false" customHeight="false" outlineLevel="0" collapsed="false">
      <c r="A166" s="11"/>
      <c r="B166" s="10"/>
      <c r="C166" s="8"/>
      <c r="D166" s="8"/>
      <c r="E166" s="14"/>
      <c r="F166" s="8"/>
      <c r="G166" s="2"/>
      <c r="H166" s="2"/>
    </row>
    <row r="167" customFormat="false" ht="15" hidden="false" customHeight="false" outlineLevel="0" collapsed="false">
      <c r="A167" s="11"/>
      <c r="B167" s="10"/>
      <c r="C167" s="8"/>
      <c r="D167" s="8"/>
      <c r="E167" s="14"/>
      <c r="F167" s="8"/>
      <c r="G167" s="2"/>
      <c r="H167" s="2"/>
    </row>
    <row r="168" customFormat="false" ht="15" hidden="false" customHeight="false" outlineLevel="0" collapsed="false">
      <c r="A168" s="11"/>
      <c r="B168" s="10"/>
      <c r="C168" s="8"/>
      <c r="D168" s="8"/>
      <c r="E168" s="14"/>
      <c r="F168" s="8"/>
      <c r="G168" s="2"/>
      <c r="H168" s="2"/>
    </row>
    <row r="169" customFormat="false" ht="15" hidden="false" customHeight="false" outlineLevel="0" collapsed="false">
      <c r="A169" s="11"/>
      <c r="B169" s="10"/>
      <c r="C169" s="8"/>
      <c r="D169" s="8"/>
      <c r="E169" s="14"/>
      <c r="F169" s="8"/>
      <c r="G169" s="2"/>
      <c r="H169" s="2"/>
    </row>
    <row r="170" customFormat="false" ht="15" hidden="false" customHeight="false" outlineLevel="0" collapsed="false">
      <c r="A170" s="11"/>
      <c r="B170" s="10"/>
      <c r="C170" s="8"/>
      <c r="D170" s="8"/>
      <c r="E170" s="14"/>
      <c r="F170" s="8"/>
      <c r="G170" s="2"/>
      <c r="H170" s="2"/>
    </row>
    <row r="171" customFormat="false" ht="15" hidden="false" customHeight="false" outlineLevel="0" collapsed="false">
      <c r="A171" s="11"/>
      <c r="B171" s="10"/>
      <c r="C171" s="8"/>
      <c r="D171" s="8"/>
      <c r="E171" s="14"/>
      <c r="F171" s="8"/>
      <c r="G171" s="2"/>
      <c r="H171" s="2"/>
    </row>
    <row r="172" customFormat="false" ht="15" hidden="false" customHeight="false" outlineLevel="0" collapsed="false">
      <c r="A172" s="11"/>
      <c r="B172" s="10"/>
      <c r="C172" s="8"/>
      <c r="D172" s="8"/>
      <c r="E172" s="14"/>
      <c r="F172" s="8"/>
      <c r="G172" s="2"/>
      <c r="H172" s="2"/>
    </row>
    <row r="173" customFormat="false" ht="15" hidden="false" customHeight="false" outlineLevel="0" collapsed="false">
      <c r="A173" s="11"/>
      <c r="B173" s="10"/>
      <c r="C173" s="8"/>
      <c r="D173" s="8"/>
      <c r="E173" s="14"/>
      <c r="F173" s="8"/>
      <c r="G173" s="2"/>
      <c r="H173" s="2"/>
    </row>
    <row r="174" customFormat="false" ht="15" hidden="false" customHeight="false" outlineLevel="0" collapsed="false">
      <c r="A174" s="11"/>
      <c r="B174" s="10"/>
      <c r="C174" s="8"/>
      <c r="D174" s="8"/>
      <c r="E174" s="14"/>
      <c r="F174" s="8"/>
      <c r="G174" s="2"/>
      <c r="H174" s="2"/>
    </row>
    <row r="175" customFormat="false" ht="15" hidden="false" customHeight="false" outlineLevel="0" collapsed="false">
      <c r="A175" s="11"/>
      <c r="B175" s="10"/>
      <c r="C175" s="8"/>
      <c r="D175" s="8"/>
      <c r="E175" s="14"/>
      <c r="F175" s="8"/>
      <c r="G175" s="2"/>
      <c r="H175" s="2"/>
    </row>
    <row r="176" customFormat="false" ht="15" hidden="false" customHeight="false" outlineLevel="0" collapsed="false">
      <c r="A176" s="11"/>
      <c r="B176" s="10"/>
      <c r="C176" s="8"/>
      <c r="D176" s="8"/>
      <c r="E176" s="14"/>
      <c r="F176" s="8"/>
      <c r="G176" s="2"/>
      <c r="H176" s="2"/>
    </row>
    <row r="177" customFormat="false" ht="15" hidden="false" customHeight="false" outlineLevel="0" collapsed="false">
      <c r="A177" s="11"/>
      <c r="B177" s="10"/>
      <c r="C177" s="8"/>
      <c r="D177" s="8"/>
      <c r="E177" s="14"/>
      <c r="F177" s="8"/>
      <c r="G177" s="2"/>
      <c r="H177" s="2"/>
    </row>
    <row r="178" customFormat="false" ht="15" hidden="false" customHeight="false" outlineLevel="0" collapsed="false">
      <c r="A178" s="11"/>
      <c r="B178" s="10"/>
      <c r="C178" s="8"/>
      <c r="D178" s="8"/>
      <c r="E178" s="14"/>
      <c r="F178" s="8"/>
      <c r="G178" s="2"/>
      <c r="H178" s="2"/>
    </row>
    <row r="179" customFormat="false" ht="15" hidden="false" customHeight="false" outlineLevel="0" collapsed="false">
      <c r="A179" s="11"/>
      <c r="B179" s="10"/>
      <c r="C179" s="8"/>
      <c r="D179" s="8"/>
      <c r="E179" s="14"/>
      <c r="F179" s="8"/>
      <c r="G179" s="2"/>
      <c r="H179" s="2"/>
    </row>
    <row r="180" customFormat="false" ht="15" hidden="false" customHeight="false" outlineLevel="0" collapsed="false">
      <c r="A180" s="11"/>
      <c r="B180" s="10"/>
      <c r="C180" s="8"/>
      <c r="D180" s="8"/>
      <c r="E180" s="14"/>
      <c r="F180" s="8"/>
      <c r="G180" s="2"/>
      <c r="H180" s="2"/>
    </row>
    <row r="181" customFormat="false" ht="15" hidden="false" customHeight="false" outlineLevel="0" collapsed="false">
      <c r="A181" s="11"/>
      <c r="B181" s="10"/>
      <c r="C181" s="8"/>
      <c r="D181" s="8"/>
      <c r="E181" s="14"/>
      <c r="F181" s="8"/>
      <c r="G181" s="2"/>
      <c r="H181" s="2"/>
    </row>
    <row r="182" customFormat="false" ht="15" hidden="false" customHeight="false" outlineLevel="0" collapsed="false">
      <c r="A182" s="11"/>
      <c r="B182" s="10"/>
      <c r="C182" s="8"/>
      <c r="D182" s="8"/>
      <c r="E182" s="14"/>
      <c r="F182" s="8"/>
      <c r="G182" s="2"/>
      <c r="H182" s="2"/>
    </row>
    <row r="183" customFormat="false" ht="15" hidden="false" customHeight="false" outlineLevel="0" collapsed="false">
      <c r="A183" s="11"/>
      <c r="B183" s="10"/>
      <c r="C183" s="8"/>
      <c r="D183" s="8"/>
      <c r="E183" s="14"/>
      <c r="F183" s="8"/>
      <c r="G183" s="2"/>
      <c r="H183" s="2"/>
    </row>
    <row r="184" customFormat="false" ht="15" hidden="false" customHeight="false" outlineLevel="0" collapsed="false">
      <c r="A184" s="11"/>
      <c r="B184" s="10"/>
      <c r="C184" s="8"/>
      <c r="D184" s="8"/>
      <c r="E184" s="14"/>
      <c r="F184" s="8"/>
      <c r="G184" s="2"/>
      <c r="H184" s="2"/>
    </row>
    <row r="185" customFormat="false" ht="15" hidden="false" customHeight="false" outlineLevel="0" collapsed="false">
      <c r="A185" s="11"/>
      <c r="B185" s="10"/>
      <c r="C185" s="8"/>
      <c r="D185" s="8"/>
      <c r="E185" s="14"/>
      <c r="F185" s="8"/>
      <c r="G185" s="2"/>
      <c r="H185" s="2"/>
    </row>
    <row r="186" customFormat="false" ht="15" hidden="false" customHeight="false" outlineLevel="0" collapsed="false">
      <c r="A186" s="11"/>
      <c r="B186" s="10"/>
      <c r="C186" s="8"/>
      <c r="D186" s="8"/>
      <c r="E186" s="14"/>
      <c r="F186" s="8"/>
      <c r="G186" s="2"/>
      <c r="H186" s="2"/>
    </row>
    <row r="187" customFormat="false" ht="15" hidden="false" customHeight="false" outlineLevel="0" collapsed="false">
      <c r="A187" s="11"/>
      <c r="B187" s="10"/>
      <c r="C187" s="8"/>
      <c r="D187" s="8"/>
      <c r="E187" s="14"/>
      <c r="F187" s="8"/>
      <c r="G187" s="2"/>
      <c r="H187" s="2"/>
    </row>
    <row r="188" customFormat="false" ht="15" hidden="false" customHeight="false" outlineLevel="0" collapsed="false">
      <c r="A188" s="11"/>
      <c r="B188" s="10"/>
      <c r="C188" s="8"/>
      <c r="D188" s="8"/>
      <c r="E188" s="14"/>
      <c r="F188" s="8"/>
      <c r="G188" s="2"/>
      <c r="H188" s="2"/>
    </row>
    <row r="189" customFormat="false" ht="15" hidden="false" customHeight="false" outlineLevel="0" collapsed="false">
      <c r="A189" s="11"/>
      <c r="B189" s="10"/>
      <c r="C189" s="8"/>
      <c r="D189" s="8"/>
      <c r="E189" s="14"/>
      <c r="F189" s="8"/>
      <c r="G189" s="2"/>
      <c r="H189" s="2"/>
    </row>
    <row r="190" customFormat="false" ht="15" hidden="false" customHeight="false" outlineLevel="0" collapsed="false">
      <c r="A190" s="11"/>
      <c r="B190" s="10"/>
      <c r="C190" s="8"/>
      <c r="D190" s="8"/>
      <c r="E190" s="14"/>
      <c r="F190" s="8"/>
      <c r="G190" s="2"/>
      <c r="H190" s="2"/>
    </row>
    <row r="191" customFormat="false" ht="15" hidden="false" customHeight="false" outlineLevel="0" collapsed="false">
      <c r="A191" s="11"/>
      <c r="B191" s="10"/>
      <c r="C191" s="8"/>
      <c r="D191" s="8"/>
      <c r="E191" s="14"/>
      <c r="F191" s="8"/>
      <c r="G191" s="2"/>
      <c r="H191" s="2"/>
    </row>
    <row r="192" customFormat="false" ht="15" hidden="false" customHeight="false" outlineLevel="0" collapsed="false">
      <c r="A192" s="11"/>
      <c r="B192" s="10"/>
      <c r="C192" s="8"/>
      <c r="D192" s="8"/>
      <c r="E192" s="14"/>
      <c r="F192" s="8"/>
      <c r="G192" s="2"/>
      <c r="H192" s="2"/>
    </row>
    <row r="193" customFormat="false" ht="15" hidden="false" customHeight="false" outlineLevel="0" collapsed="false">
      <c r="A193" s="11"/>
      <c r="B193" s="10"/>
      <c r="C193" s="8"/>
      <c r="D193" s="8"/>
      <c r="E193" s="14"/>
      <c r="F193" s="8"/>
      <c r="G193" s="2"/>
      <c r="H193" s="2"/>
    </row>
    <row r="194" customFormat="false" ht="15" hidden="false" customHeight="false" outlineLevel="0" collapsed="false">
      <c r="A194" s="11"/>
      <c r="B194" s="10"/>
      <c r="C194" s="8"/>
      <c r="D194" s="8"/>
      <c r="E194" s="14"/>
      <c r="F194" s="8"/>
      <c r="G194" s="2"/>
      <c r="H194" s="2"/>
    </row>
    <row r="195" customFormat="false" ht="15" hidden="false" customHeight="false" outlineLevel="0" collapsed="false">
      <c r="A195" s="11"/>
      <c r="B195" s="10"/>
      <c r="C195" s="8"/>
      <c r="D195" s="8"/>
      <c r="E195" s="14"/>
      <c r="F195" s="8"/>
      <c r="G195" s="2"/>
      <c r="H195" s="2"/>
    </row>
    <row r="196" customFormat="false" ht="15" hidden="false" customHeight="false" outlineLevel="0" collapsed="false">
      <c r="A196" s="11"/>
      <c r="B196" s="10"/>
      <c r="C196" s="8"/>
      <c r="D196" s="8"/>
      <c r="E196" s="14"/>
      <c r="F196" s="8"/>
      <c r="G196" s="2"/>
      <c r="H196" s="2"/>
    </row>
    <row r="197" customFormat="false" ht="15" hidden="false" customHeight="false" outlineLevel="0" collapsed="false">
      <c r="A197" s="11"/>
      <c r="B197" s="10"/>
      <c r="C197" s="8"/>
      <c r="D197" s="8"/>
      <c r="E197" s="14"/>
      <c r="F197" s="8"/>
      <c r="G197" s="2"/>
      <c r="H197" s="2"/>
    </row>
    <row r="198" customFormat="false" ht="15" hidden="false" customHeight="false" outlineLevel="0" collapsed="false">
      <c r="A198" s="11"/>
      <c r="B198" s="10"/>
      <c r="C198" s="8"/>
      <c r="D198" s="8"/>
      <c r="E198" s="14"/>
      <c r="F198" s="8"/>
      <c r="G198" s="2"/>
      <c r="H198" s="2"/>
    </row>
    <row r="199" customFormat="false" ht="15" hidden="false" customHeight="false" outlineLevel="0" collapsed="false">
      <c r="A199" s="11"/>
      <c r="B199" s="10"/>
      <c r="C199" s="8"/>
      <c r="D199" s="8"/>
      <c r="E199" s="14"/>
      <c r="F199" s="8"/>
      <c r="G199" s="2"/>
      <c r="H199" s="2"/>
    </row>
    <row r="200" customFormat="false" ht="15" hidden="false" customHeight="false" outlineLevel="0" collapsed="false">
      <c r="A200" s="11"/>
      <c r="B200" s="10"/>
      <c r="C200" s="8"/>
      <c r="D200" s="8"/>
      <c r="E200" s="14"/>
      <c r="F200" s="8"/>
      <c r="G200" s="2"/>
      <c r="H200" s="2"/>
    </row>
    <row r="201" customFormat="false" ht="15" hidden="false" customHeight="false" outlineLevel="0" collapsed="false">
      <c r="A201" s="11"/>
      <c r="B201" s="10"/>
      <c r="C201" s="8"/>
      <c r="D201" s="8"/>
      <c r="E201" s="14"/>
      <c r="F201" s="8"/>
      <c r="G201" s="2"/>
      <c r="H201" s="2"/>
    </row>
    <row r="202" customFormat="false" ht="15" hidden="false" customHeight="false" outlineLevel="0" collapsed="false">
      <c r="A202" s="11"/>
      <c r="B202" s="10"/>
      <c r="C202" s="8"/>
      <c r="D202" s="8"/>
      <c r="E202" s="14"/>
      <c r="F202" s="8"/>
      <c r="G202" s="2"/>
      <c r="H202" s="2"/>
    </row>
    <row r="203" customFormat="false" ht="15" hidden="false" customHeight="false" outlineLevel="0" collapsed="false">
      <c r="A203" s="11"/>
      <c r="B203" s="10"/>
      <c r="C203" s="8"/>
      <c r="D203" s="8"/>
      <c r="E203" s="14"/>
      <c r="F203" s="8"/>
      <c r="G203" s="2"/>
      <c r="H203" s="2"/>
    </row>
    <row r="204" customFormat="false" ht="15" hidden="false" customHeight="false" outlineLevel="0" collapsed="false">
      <c r="A204" s="11"/>
      <c r="B204" s="10"/>
      <c r="C204" s="8"/>
      <c r="D204" s="8"/>
      <c r="E204" s="14"/>
      <c r="F204" s="8"/>
      <c r="G204" s="2"/>
      <c r="H204" s="2"/>
    </row>
    <row r="205" customFormat="false" ht="15" hidden="false" customHeight="false" outlineLevel="0" collapsed="false">
      <c r="A205" s="11"/>
      <c r="B205" s="10"/>
      <c r="C205" s="8"/>
      <c r="D205" s="8"/>
      <c r="E205" s="14"/>
      <c r="F205" s="8"/>
      <c r="G205" s="2"/>
      <c r="H205" s="2"/>
    </row>
    <row r="206" customFormat="false" ht="15" hidden="false" customHeight="false" outlineLevel="0" collapsed="false">
      <c r="A206" s="11"/>
      <c r="B206" s="10"/>
      <c r="C206" s="8"/>
      <c r="D206" s="8"/>
      <c r="E206" s="14"/>
      <c r="F206" s="8"/>
      <c r="G206" s="2"/>
      <c r="H206" s="2"/>
    </row>
    <row r="207" customFormat="false" ht="15" hidden="false" customHeight="false" outlineLevel="0" collapsed="false">
      <c r="A207" s="11"/>
      <c r="B207" s="10"/>
      <c r="C207" s="8"/>
      <c r="D207" s="8"/>
      <c r="E207" s="14"/>
      <c r="F207" s="8"/>
      <c r="G207" s="2"/>
      <c r="H207" s="2"/>
    </row>
    <row r="208" customFormat="false" ht="15" hidden="false" customHeight="false" outlineLevel="0" collapsed="false">
      <c r="A208" s="11"/>
      <c r="B208" s="10"/>
      <c r="C208" s="8"/>
      <c r="D208" s="8"/>
      <c r="E208" s="14"/>
      <c r="F208" s="8"/>
      <c r="G208" s="2"/>
      <c r="H208" s="2"/>
    </row>
    <row r="209" customFormat="false" ht="15" hidden="false" customHeight="false" outlineLevel="0" collapsed="false">
      <c r="A209" s="11"/>
      <c r="B209" s="10"/>
      <c r="C209" s="8"/>
      <c r="D209" s="8"/>
      <c r="E209" s="14"/>
      <c r="F209" s="8"/>
      <c r="G209" s="2"/>
      <c r="H209" s="2"/>
    </row>
    <row r="210" customFormat="false" ht="15" hidden="false" customHeight="false" outlineLevel="0" collapsed="false">
      <c r="A210" s="11"/>
      <c r="B210" s="10"/>
      <c r="C210" s="8"/>
      <c r="D210" s="8"/>
      <c r="E210" s="14"/>
      <c r="F210" s="8"/>
      <c r="G210" s="2"/>
      <c r="H210" s="2"/>
    </row>
    <row r="211" customFormat="false" ht="15" hidden="false" customHeight="false" outlineLevel="0" collapsed="false">
      <c r="A211" s="11"/>
      <c r="B211" s="10"/>
      <c r="C211" s="8"/>
      <c r="D211" s="8"/>
      <c r="E211" s="14"/>
      <c r="F211" s="8"/>
      <c r="G211" s="2"/>
      <c r="H211" s="2"/>
    </row>
    <row r="212" customFormat="false" ht="15" hidden="false" customHeight="false" outlineLevel="0" collapsed="false">
      <c r="A212" s="11"/>
      <c r="B212" s="10"/>
      <c r="C212" s="8"/>
      <c r="D212" s="8"/>
      <c r="E212" s="14"/>
      <c r="F212" s="8"/>
      <c r="G212" s="2"/>
      <c r="H212" s="2"/>
    </row>
    <row r="213" customFormat="false" ht="15" hidden="false" customHeight="false" outlineLevel="0" collapsed="false">
      <c r="A213" s="11"/>
      <c r="B213" s="10"/>
      <c r="C213" s="8"/>
      <c r="D213" s="8"/>
      <c r="E213" s="14"/>
      <c r="F213" s="8"/>
      <c r="G213" s="2"/>
      <c r="H213" s="2"/>
    </row>
    <row r="214" customFormat="false" ht="15" hidden="false" customHeight="false" outlineLevel="0" collapsed="false">
      <c r="A214" s="11"/>
      <c r="B214" s="10"/>
      <c r="C214" s="8"/>
      <c r="D214" s="8"/>
      <c r="E214" s="14"/>
      <c r="F214" s="8"/>
      <c r="G214" s="2"/>
      <c r="H214" s="2"/>
    </row>
    <row r="215" customFormat="false" ht="15" hidden="false" customHeight="false" outlineLevel="0" collapsed="false">
      <c r="A215" s="11"/>
      <c r="B215" s="10"/>
      <c r="C215" s="8"/>
      <c r="D215" s="8"/>
      <c r="E215" s="14"/>
      <c r="F215" s="8"/>
      <c r="G215" s="2"/>
      <c r="H215" s="2"/>
    </row>
    <row r="216" customFormat="false" ht="15" hidden="false" customHeight="false" outlineLevel="0" collapsed="false">
      <c r="A216" s="11"/>
      <c r="B216" s="10"/>
      <c r="C216" s="8"/>
      <c r="D216" s="8"/>
      <c r="E216" s="14"/>
      <c r="F216" s="8"/>
      <c r="G216" s="2"/>
      <c r="H216" s="2"/>
    </row>
    <row r="217" customFormat="false" ht="15" hidden="false" customHeight="false" outlineLevel="0" collapsed="false">
      <c r="A217" s="11"/>
      <c r="B217" s="10"/>
      <c r="C217" s="8"/>
      <c r="D217" s="8"/>
      <c r="E217" s="14"/>
      <c r="F217" s="8"/>
      <c r="G217" s="2"/>
      <c r="H217" s="2"/>
    </row>
    <row r="218" customFormat="false" ht="15" hidden="false" customHeight="false" outlineLevel="0" collapsed="false">
      <c r="A218" s="11"/>
      <c r="B218" s="10"/>
      <c r="C218" s="8"/>
      <c r="D218" s="8"/>
      <c r="E218" s="14"/>
      <c r="F218" s="8"/>
      <c r="G218" s="2"/>
      <c r="H218" s="2"/>
    </row>
    <row r="219" customFormat="false" ht="15" hidden="false" customHeight="false" outlineLevel="0" collapsed="false">
      <c r="A219" s="11"/>
      <c r="B219" s="10"/>
      <c r="C219" s="8"/>
      <c r="D219" s="8"/>
      <c r="E219" s="14"/>
      <c r="F219" s="8"/>
      <c r="G219" s="2"/>
      <c r="H219" s="2"/>
    </row>
    <row r="220" customFormat="false" ht="15" hidden="false" customHeight="false" outlineLevel="0" collapsed="false">
      <c r="A220" s="11"/>
      <c r="B220" s="10"/>
      <c r="C220" s="8"/>
      <c r="D220" s="8"/>
      <c r="E220" s="14"/>
      <c r="F220" s="8"/>
      <c r="G220" s="2"/>
      <c r="H220" s="2"/>
    </row>
    <row r="221" customFormat="false" ht="15" hidden="false" customHeight="false" outlineLevel="0" collapsed="false">
      <c r="A221" s="11"/>
      <c r="B221" s="10"/>
      <c r="C221" s="8"/>
      <c r="D221" s="8"/>
      <c r="E221" s="14"/>
      <c r="F221" s="8"/>
      <c r="G221" s="2"/>
      <c r="H221" s="2"/>
    </row>
    <row r="222" customFormat="false" ht="15" hidden="false" customHeight="false" outlineLevel="0" collapsed="false">
      <c r="A222" s="11"/>
      <c r="B222" s="10"/>
      <c r="C222" s="8"/>
      <c r="D222" s="8"/>
      <c r="E222" s="14"/>
      <c r="F222" s="8"/>
      <c r="G222" s="2"/>
      <c r="H222" s="2"/>
    </row>
    <row r="223" customFormat="false" ht="15" hidden="false" customHeight="false" outlineLevel="0" collapsed="false">
      <c r="A223" s="11"/>
      <c r="B223" s="10"/>
      <c r="C223" s="8"/>
      <c r="D223" s="8"/>
      <c r="E223" s="14"/>
      <c r="F223" s="8"/>
      <c r="G223" s="2"/>
      <c r="H223" s="2"/>
    </row>
    <row r="224" customFormat="false" ht="15" hidden="false" customHeight="false" outlineLevel="0" collapsed="false">
      <c r="A224" s="11"/>
      <c r="B224" s="10"/>
      <c r="C224" s="8"/>
      <c r="D224" s="8"/>
      <c r="E224" s="14"/>
      <c r="F224" s="8"/>
      <c r="G224" s="2"/>
      <c r="H224" s="2"/>
    </row>
    <row r="225" customFormat="false" ht="15" hidden="false" customHeight="false" outlineLevel="0" collapsed="false">
      <c r="A225" s="11"/>
      <c r="B225" s="10"/>
      <c r="C225" s="8"/>
      <c r="D225" s="8"/>
      <c r="E225" s="14"/>
      <c r="F225" s="8"/>
      <c r="G225" s="2"/>
      <c r="H225" s="2"/>
    </row>
    <row r="226" customFormat="false" ht="15" hidden="false" customHeight="false" outlineLevel="0" collapsed="false">
      <c r="A226" s="11"/>
      <c r="B226" s="10"/>
      <c r="C226" s="8"/>
      <c r="D226" s="8"/>
      <c r="E226" s="14"/>
      <c r="F226" s="8"/>
      <c r="G226" s="2"/>
      <c r="H226" s="2"/>
    </row>
    <row r="227" customFormat="false" ht="15" hidden="false" customHeight="false" outlineLevel="0" collapsed="false">
      <c r="A227" s="11"/>
      <c r="B227" s="10"/>
      <c r="C227" s="8"/>
      <c r="D227" s="8"/>
      <c r="E227" s="14"/>
      <c r="F227" s="8"/>
      <c r="G227" s="2"/>
      <c r="H227" s="2"/>
    </row>
    <row r="228" customFormat="false" ht="15" hidden="false" customHeight="false" outlineLevel="0" collapsed="false">
      <c r="A228" s="11"/>
      <c r="B228" s="10"/>
      <c r="C228" s="8"/>
      <c r="D228" s="8"/>
      <c r="E228" s="14"/>
      <c r="F228" s="8"/>
      <c r="G228" s="2"/>
      <c r="H228" s="2"/>
    </row>
    <row r="229" customFormat="false" ht="15" hidden="false" customHeight="false" outlineLevel="0" collapsed="false">
      <c r="A229" s="11"/>
      <c r="B229" s="10"/>
      <c r="C229" s="8"/>
      <c r="D229" s="8"/>
      <c r="E229" s="14"/>
      <c r="F229" s="8"/>
      <c r="G229" s="2"/>
      <c r="H229" s="2"/>
    </row>
    <row r="230" customFormat="false" ht="15" hidden="false" customHeight="false" outlineLevel="0" collapsed="false">
      <c r="A230" s="11"/>
      <c r="B230" s="10"/>
      <c r="C230" s="8"/>
      <c r="D230" s="8"/>
      <c r="E230" s="14"/>
      <c r="F230" s="8"/>
      <c r="G230" s="2"/>
      <c r="H230" s="2"/>
    </row>
    <row r="231" customFormat="false" ht="15" hidden="false" customHeight="false" outlineLevel="0" collapsed="false">
      <c r="A231" s="11"/>
      <c r="B231" s="10"/>
      <c r="C231" s="8"/>
      <c r="D231" s="8"/>
      <c r="E231" s="14"/>
      <c r="F231" s="8"/>
      <c r="G231" s="2"/>
      <c r="H231" s="2"/>
    </row>
    <row r="232" customFormat="false" ht="15" hidden="false" customHeight="false" outlineLevel="0" collapsed="false">
      <c r="A232" s="11"/>
      <c r="B232" s="10"/>
      <c r="C232" s="8"/>
      <c r="D232" s="8"/>
      <c r="E232" s="14"/>
      <c r="F232" s="8"/>
      <c r="G232" s="2"/>
      <c r="H232" s="2"/>
    </row>
    <row r="233" customFormat="false" ht="15" hidden="false" customHeight="false" outlineLevel="0" collapsed="false">
      <c r="A233" s="11"/>
      <c r="B233" s="10"/>
      <c r="C233" s="8"/>
      <c r="D233" s="8"/>
      <c r="E233" s="14"/>
      <c r="F233" s="8"/>
      <c r="G233" s="2"/>
      <c r="H233" s="2"/>
    </row>
    <row r="234" customFormat="false" ht="15" hidden="false" customHeight="false" outlineLevel="0" collapsed="false">
      <c r="A234" s="11"/>
      <c r="B234" s="10"/>
      <c r="C234" s="8"/>
      <c r="D234" s="8"/>
      <c r="E234" s="14"/>
      <c r="F234" s="8"/>
      <c r="G234" s="2"/>
      <c r="H234" s="2"/>
    </row>
    <row r="235" customFormat="false" ht="15" hidden="false" customHeight="false" outlineLevel="0" collapsed="false">
      <c r="A235" s="11"/>
      <c r="B235" s="10"/>
      <c r="C235" s="8"/>
      <c r="D235" s="8"/>
      <c r="E235" s="14"/>
      <c r="F235" s="8"/>
      <c r="G235" s="2"/>
      <c r="H235" s="2"/>
    </row>
    <row r="236" customFormat="false" ht="15" hidden="false" customHeight="false" outlineLevel="0" collapsed="false">
      <c r="A236" s="11"/>
      <c r="B236" s="10"/>
      <c r="C236" s="8"/>
      <c r="D236" s="8"/>
      <c r="E236" s="14"/>
      <c r="F236" s="8"/>
      <c r="G236" s="2"/>
      <c r="H236" s="2"/>
    </row>
    <row r="237" customFormat="false" ht="15" hidden="false" customHeight="false" outlineLevel="0" collapsed="false">
      <c r="A237" s="11"/>
      <c r="B237" s="10"/>
      <c r="C237" s="8"/>
      <c r="D237" s="8"/>
      <c r="E237" s="14"/>
      <c r="F237" s="8"/>
      <c r="G237" s="2"/>
      <c r="H237" s="2"/>
    </row>
    <row r="238" customFormat="false" ht="15" hidden="false" customHeight="false" outlineLevel="0" collapsed="false">
      <c r="A238" s="11"/>
      <c r="B238" s="10"/>
      <c r="C238" s="8"/>
      <c r="D238" s="8"/>
      <c r="E238" s="14"/>
      <c r="F238" s="8"/>
      <c r="G238" s="2"/>
      <c r="H238" s="2"/>
    </row>
    <row r="239" customFormat="false" ht="15" hidden="false" customHeight="false" outlineLevel="0" collapsed="false">
      <c r="A239" s="11"/>
      <c r="B239" s="10"/>
      <c r="C239" s="8"/>
      <c r="D239" s="8"/>
      <c r="E239" s="14"/>
      <c r="F239" s="8"/>
      <c r="G239" s="2"/>
      <c r="H239" s="2"/>
    </row>
    <row r="240" customFormat="false" ht="15" hidden="false" customHeight="false" outlineLevel="0" collapsed="false">
      <c r="A240" s="11"/>
      <c r="B240" s="10"/>
      <c r="C240" s="8"/>
      <c r="D240" s="8"/>
      <c r="E240" s="14"/>
      <c r="F240" s="8"/>
      <c r="G240" s="2"/>
      <c r="H240" s="2"/>
    </row>
    <row r="241" customFormat="false" ht="15" hidden="false" customHeight="false" outlineLevel="0" collapsed="false">
      <c r="A241" s="11"/>
      <c r="B241" s="10"/>
      <c r="C241" s="8"/>
      <c r="D241" s="8"/>
      <c r="E241" s="14"/>
      <c r="F241" s="8"/>
      <c r="G241" s="2"/>
      <c r="H241" s="2"/>
    </row>
    <row r="242" customFormat="false" ht="15" hidden="false" customHeight="false" outlineLevel="0" collapsed="false">
      <c r="A242" s="11"/>
      <c r="B242" s="10"/>
      <c r="C242" s="8"/>
      <c r="D242" s="8"/>
      <c r="E242" s="14"/>
      <c r="F242" s="8"/>
      <c r="G242" s="2"/>
      <c r="H242" s="2"/>
    </row>
    <row r="243" customFormat="false" ht="15" hidden="false" customHeight="false" outlineLevel="0" collapsed="false">
      <c r="A243" s="11"/>
      <c r="B243" s="10"/>
      <c r="C243" s="8"/>
      <c r="D243" s="8"/>
      <c r="E243" s="14"/>
      <c r="F243" s="8"/>
      <c r="G243" s="2"/>
      <c r="H243" s="2"/>
    </row>
    <row r="244" customFormat="false" ht="15" hidden="false" customHeight="false" outlineLevel="0" collapsed="false">
      <c r="A244" s="11"/>
      <c r="B244" s="10"/>
      <c r="C244" s="8"/>
      <c r="D244" s="8"/>
      <c r="E244" s="14"/>
      <c r="F244" s="8"/>
      <c r="G244" s="2"/>
      <c r="H244" s="2"/>
    </row>
    <row r="245" customFormat="false" ht="15" hidden="false" customHeight="false" outlineLevel="0" collapsed="false">
      <c r="A245" s="11"/>
      <c r="B245" s="10"/>
      <c r="C245" s="8"/>
      <c r="D245" s="8"/>
      <c r="E245" s="14"/>
      <c r="F245" s="8"/>
      <c r="G245" s="2"/>
      <c r="H245" s="2"/>
    </row>
    <row r="246" customFormat="false" ht="15" hidden="false" customHeight="false" outlineLevel="0" collapsed="false">
      <c r="A246" s="11"/>
      <c r="B246" s="10"/>
      <c r="C246" s="8"/>
      <c r="D246" s="8"/>
      <c r="E246" s="14"/>
      <c r="F246" s="8"/>
      <c r="G246" s="2"/>
      <c r="H246" s="2"/>
    </row>
    <row r="247" customFormat="false" ht="15" hidden="false" customHeight="false" outlineLevel="0" collapsed="false">
      <c r="A247" s="11"/>
      <c r="B247" s="10"/>
      <c r="C247" s="8"/>
      <c r="D247" s="8"/>
      <c r="E247" s="14"/>
      <c r="F247" s="8"/>
      <c r="G247" s="2"/>
      <c r="H247" s="2"/>
    </row>
    <row r="248" customFormat="false" ht="15" hidden="false" customHeight="false" outlineLevel="0" collapsed="false">
      <c r="A248" s="11"/>
      <c r="B248" s="10"/>
      <c r="C248" s="8"/>
      <c r="D248" s="8"/>
      <c r="E248" s="14"/>
      <c r="F248" s="8"/>
      <c r="G248" s="2"/>
      <c r="H248" s="2"/>
    </row>
    <row r="249" customFormat="false" ht="15" hidden="false" customHeight="false" outlineLevel="0" collapsed="false">
      <c r="A249" s="11"/>
      <c r="B249" s="10"/>
      <c r="C249" s="8"/>
      <c r="D249" s="8"/>
      <c r="E249" s="14"/>
      <c r="F249" s="8"/>
      <c r="G249" s="2"/>
      <c r="H249" s="2"/>
    </row>
    <row r="250" customFormat="false" ht="15" hidden="false" customHeight="false" outlineLevel="0" collapsed="false">
      <c r="A250" s="11"/>
      <c r="B250" s="10"/>
      <c r="C250" s="8"/>
      <c r="D250" s="8"/>
      <c r="E250" s="14"/>
      <c r="F250" s="8"/>
      <c r="G250" s="2"/>
      <c r="H250" s="2"/>
    </row>
    <row r="251" customFormat="false" ht="15" hidden="false" customHeight="false" outlineLevel="0" collapsed="false">
      <c r="A251" s="11"/>
      <c r="B251" s="10"/>
      <c r="C251" s="8"/>
      <c r="D251" s="8"/>
      <c r="E251" s="14"/>
      <c r="F251" s="8"/>
      <c r="G251" s="2"/>
      <c r="H251" s="2"/>
    </row>
    <row r="252" customFormat="false" ht="15" hidden="false" customHeight="false" outlineLevel="0" collapsed="false">
      <c r="A252" s="11"/>
      <c r="B252" s="10"/>
      <c r="C252" s="8"/>
      <c r="D252" s="8"/>
      <c r="E252" s="14"/>
      <c r="F252" s="8"/>
      <c r="G252" s="2"/>
      <c r="H252" s="2"/>
    </row>
    <row r="253" customFormat="false" ht="15" hidden="false" customHeight="false" outlineLevel="0" collapsed="false">
      <c r="A253" s="11"/>
      <c r="B253" s="10"/>
      <c r="C253" s="8"/>
      <c r="D253" s="8"/>
      <c r="E253" s="14"/>
      <c r="F253" s="8"/>
      <c r="G253" s="2"/>
      <c r="H253" s="2"/>
    </row>
    <row r="254" customFormat="false" ht="15" hidden="false" customHeight="false" outlineLevel="0" collapsed="false">
      <c r="A254" s="11"/>
      <c r="B254" s="10"/>
      <c r="C254" s="8"/>
      <c r="D254" s="8"/>
      <c r="E254" s="14"/>
      <c r="F254" s="8"/>
      <c r="G254" s="2"/>
      <c r="H254" s="2"/>
    </row>
    <row r="255" customFormat="false" ht="15" hidden="false" customHeight="false" outlineLevel="0" collapsed="false">
      <c r="A255" s="11"/>
      <c r="B255" s="10"/>
      <c r="C255" s="8"/>
      <c r="D255" s="8"/>
      <c r="E255" s="14"/>
      <c r="F255" s="8"/>
      <c r="G255" s="2"/>
      <c r="H255" s="2"/>
    </row>
    <row r="256" customFormat="false" ht="15" hidden="false" customHeight="false" outlineLevel="0" collapsed="false">
      <c r="A256" s="11"/>
      <c r="B256" s="10"/>
      <c r="C256" s="8"/>
      <c r="D256" s="8"/>
      <c r="E256" s="14"/>
      <c r="F256" s="8"/>
      <c r="G256" s="2"/>
      <c r="H256" s="2"/>
    </row>
    <row r="257" customFormat="false" ht="15" hidden="false" customHeight="false" outlineLevel="0" collapsed="false">
      <c r="A257" s="11"/>
      <c r="B257" s="10"/>
      <c r="C257" s="8"/>
      <c r="D257" s="8"/>
      <c r="E257" s="14"/>
      <c r="F257" s="8"/>
      <c r="G257" s="2"/>
      <c r="H257" s="2"/>
    </row>
    <row r="258" customFormat="false" ht="15" hidden="false" customHeight="false" outlineLevel="0" collapsed="false">
      <c r="A258" s="11"/>
      <c r="B258" s="10"/>
      <c r="C258" s="8"/>
      <c r="D258" s="8"/>
      <c r="E258" s="14"/>
      <c r="F258" s="8"/>
      <c r="G258" s="2"/>
      <c r="H258" s="2"/>
    </row>
    <row r="259" customFormat="false" ht="15" hidden="false" customHeight="false" outlineLevel="0" collapsed="false">
      <c r="A259" s="11"/>
      <c r="B259" s="10"/>
      <c r="C259" s="8"/>
      <c r="D259" s="8"/>
      <c r="E259" s="14"/>
      <c r="F259" s="8"/>
      <c r="G259" s="2"/>
      <c r="H259" s="2"/>
    </row>
    <row r="260" customFormat="false" ht="15" hidden="false" customHeight="false" outlineLevel="0" collapsed="false">
      <c r="A260" s="11"/>
      <c r="B260" s="10"/>
      <c r="C260" s="8"/>
      <c r="D260" s="8"/>
      <c r="E260" s="14"/>
      <c r="F260" s="8"/>
      <c r="G260" s="2"/>
      <c r="H260" s="2"/>
    </row>
    <row r="261" customFormat="false" ht="15" hidden="false" customHeight="false" outlineLevel="0" collapsed="false">
      <c r="A261" s="11"/>
      <c r="B261" s="10"/>
      <c r="C261" s="8"/>
      <c r="D261" s="8"/>
      <c r="E261" s="14"/>
      <c r="F261" s="8"/>
      <c r="G261" s="2"/>
      <c r="H261" s="2"/>
    </row>
    <row r="262" customFormat="false" ht="15" hidden="false" customHeight="false" outlineLevel="0" collapsed="false">
      <c r="A262" s="11"/>
      <c r="B262" s="10"/>
      <c r="C262" s="8"/>
      <c r="D262" s="8"/>
      <c r="E262" s="14"/>
      <c r="F262" s="8"/>
      <c r="G262" s="2"/>
      <c r="H262" s="2"/>
    </row>
    <row r="263" customFormat="false" ht="15" hidden="false" customHeight="false" outlineLevel="0" collapsed="false">
      <c r="A263" s="11"/>
      <c r="B263" s="10"/>
      <c r="C263" s="8"/>
      <c r="D263" s="8"/>
      <c r="E263" s="14"/>
      <c r="F263" s="8"/>
      <c r="G263" s="2"/>
      <c r="H263" s="2"/>
    </row>
    <row r="264" customFormat="false" ht="15" hidden="false" customHeight="false" outlineLevel="0" collapsed="false">
      <c r="A264" s="11"/>
      <c r="B264" s="10"/>
      <c r="C264" s="8"/>
      <c r="D264" s="8"/>
      <c r="E264" s="14"/>
      <c r="F264" s="8"/>
      <c r="G264" s="2"/>
      <c r="H264" s="2"/>
    </row>
    <row r="265" customFormat="false" ht="15" hidden="false" customHeight="false" outlineLevel="0" collapsed="false">
      <c r="A265" s="11"/>
      <c r="B265" s="10"/>
      <c r="C265" s="8"/>
      <c r="D265" s="8"/>
      <c r="E265" s="14"/>
      <c r="F265" s="8"/>
      <c r="G265" s="2"/>
      <c r="H265" s="2"/>
    </row>
    <row r="266" customFormat="false" ht="15" hidden="false" customHeight="false" outlineLevel="0" collapsed="false">
      <c r="A266" s="11"/>
      <c r="B266" s="10"/>
      <c r="C266" s="8"/>
      <c r="D266" s="8"/>
      <c r="E266" s="14"/>
      <c r="F266" s="8"/>
      <c r="G266" s="2"/>
      <c r="H266" s="2"/>
    </row>
    <row r="267" customFormat="false" ht="15" hidden="false" customHeight="false" outlineLevel="0" collapsed="false">
      <c r="A267" s="11"/>
      <c r="B267" s="10"/>
      <c r="C267" s="8"/>
      <c r="D267" s="8"/>
      <c r="E267" s="14"/>
      <c r="F267" s="8"/>
      <c r="G267" s="2"/>
      <c r="H267" s="2"/>
    </row>
    <row r="268" customFormat="false" ht="15" hidden="false" customHeight="false" outlineLevel="0" collapsed="false">
      <c r="A268" s="11"/>
      <c r="B268" s="10"/>
      <c r="C268" s="8"/>
      <c r="D268" s="8"/>
      <c r="E268" s="14"/>
      <c r="F268" s="8"/>
      <c r="G268" s="2"/>
      <c r="H268" s="2"/>
    </row>
    <row r="269" customFormat="false" ht="15" hidden="false" customHeight="false" outlineLevel="0" collapsed="false">
      <c r="A269" s="11"/>
      <c r="B269" s="10"/>
      <c r="C269" s="8"/>
      <c r="D269" s="8"/>
      <c r="E269" s="14"/>
      <c r="F269" s="8"/>
      <c r="G269" s="2"/>
      <c r="H269" s="2"/>
    </row>
    <row r="270" customFormat="false" ht="15" hidden="false" customHeight="false" outlineLevel="0" collapsed="false">
      <c r="A270" s="11"/>
      <c r="B270" s="10"/>
      <c r="C270" s="8"/>
      <c r="D270" s="8"/>
      <c r="E270" s="14"/>
      <c r="F270" s="8"/>
      <c r="G270" s="2"/>
      <c r="H270" s="2"/>
    </row>
    <row r="271" customFormat="false" ht="15" hidden="false" customHeight="false" outlineLevel="0" collapsed="false">
      <c r="A271" s="11"/>
      <c r="B271" s="10"/>
      <c r="C271" s="8"/>
      <c r="D271" s="8"/>
      <c r="E271" s="14"/>
      <c r="F271" s="8"/>
      <c r="G271" s="2"/>
      <c r="H271" s="2"/>
    </row>
    <row r="272" customFormat="false" ht="15" hidden="false" customHeight="false" outlineLevel="0" collapsed="false">
      <c r="A272" s="11"/>
      <c r="B272" s="10"/>
      <c r="C272" s="8"/>
      <c r="D272" s="8"/>
      <c r="E272" s="14"/>
      <c r="F272" s="8"/>
      <c r="G272" s="2"/>
      <c r="H272" s="2"/>
    </row>
    <row r="273" customFormat="false" ht="15" hidden="false" customHeight="false" outlineLevel="0" collapsed="false">
      <c r="A273" s="11"/>
      <c r="B273" s="10"/>
      <c r="C273" s="8"/>
      <c r="D273" s="8"/>
      <c r="E273" s="14"/>
      <c r="F273" s="8"/>
      <c r="G273" s="2"/>
      <c r="H273" s="2"/>
    </row>
    <row r="274" customFormat="false" ht="15" hidden="false" customHeight="false" outlineLevel="0" collapsed="false">
      <c r="A274" s="11"/>
      <c r="B274" s="10"/>
      <c r="C274" s="8"/>
      <c r="D274" s="8"/>
      <c r="E274" s="14"/>
      <c r="F274" s="8"/>
      <c r="G274" s="2"/>
      <c r="H274" s="2"/>
    </row>
    <row r="275" customFormat="false" ht="15" hidden="false" customHeight="false" outlineLevel="0" collapsed="false">
      <c r="A275" s="11"/>
      <c r="B275" s="10"/>
      <c r="C275" s="8"/>
      <c r="D275" s="8"/>
      <c r="E275" s="14"/>
      <c r="F275" s="8"/>
      <c r="G275" s="2"/>
      <c r="H275" s="2"/>
    </row>
    <row r="276" customFormat="false" ht="15" hidden="false" customHeight="false" outlineLevel="0" collapsed="false">
      <c r="A276" s="11"/>
      <c r="B276" s="10"/>
      <c r="C276" s="8"/>
      <c r="D276" s="8"/>
      <c r="E276" s="14"/>
      <c r="F276" s="8"/>
      <c r="G276" s="2"/>
      <c r="H276" s="2"/>
    </row>
    <row r="277" customFormat="false" ht="15" hidden="false" customHeight="false" outlineLevel="0" collapsed="false">
      <c r="A277" s="11"/>
      <c r="B277" s="10"/>
      <c r="C277" s="8"/>
      <c r="D277" s="8"/>
      <c r="E277" s="14"/>
      <c r="F277" s="8"/>
      <c r="G277" s="2"/>
      <c r="H277" s="2"/>
    </row>
    <row r="278" customFormat="false" ht="15" hidden="false" customHeight="false" outlineLevel="0" collapsed="false">
      <c r="A278" s="11"/>
      <c r="B278" s="10"/>
      <c r="C278" s="8"/>
      <c r="D278" s="8"/>
      <c r="E278" s="14"/>
      <c r="F278" s="8"/>
      <c r="G278" s="2"/>
      <c r="H278" s="2"/>
    </row>
    <row r="279" customFormat="false" ht="15" hidden="false" customHeight="false" outlineLevel="0" collapsed="false">
      <c r="A279" s="11"/>
      <c r="B279" s="10"/>
      <c r="C279" s="8"/>
      <c r="D279" s="8"/>
      <c r="E279" s="14"/>
      <c r="F279" s="8"/>
      <c r="G279" s="2"/>
      <c r="H279" s="2"/>
    </row>
    <row r="280" customFormat="false" ht="15" hidden="false" customHeight="false" outlineLevel="0" collapsed="false">
      <c r="A280" s="11"/>
      <c r="B280" s="10"/>
      <c r="C280" s="8"/>
      <c r="D280" s="8"/>
      <c r="E280" s="14"/>
      <c r="F280" s="8"/>
      <c r="G280" s="2"/>
      <c r="H280" s="2"/>
    </row>
    <row r="281" customFormat="false" ht="15" hidden="false" customHeight="false" outlineLevel="0" collapsed="false">
      <c r="A281" s="11"/>
      <c r="B281" s="10"/>
      <c r="C281" s="8"/>
      <c r="D281" s="8"/>
      <c r="E281" s="14"/>
      <c r="F281" s="8"/>
      <c r="G281" s="2"/>
      <c r="H281" s="2"/>
    </row>
    <row r="282" customFormat="false" ht="15" hidden="false" customHeight="false" outlineLevel="0" collapsed="false">
      <c r="A282" s="11"/>
      <c r="B282" s="10"/>
      <c r="C282" s="8"/>
      <c r="D282" s="8"/>
      <c r="E282" s="14"/>
      <c r="F282" s="8"/>
      <c r="G282" s="2"/>
      <c r="H282" s="2"/>
    </row>
    <row r="283" customFormat="false" ht="15" hidden="false" customHeight="false" outlineLevel="0" collapsed="false">
      <c r="A283" s="11"/>
      <c r="B283" s="10"/>
      <c r="C283" s="8"/>
      <c r="D283" s="8"/>
      <c r="E283" s="14"/>
      <c r="F283" s="8"/>
      <c r="G283" s="2"/>
      <c r="H283" s="2"/>
    </row>
    <row r="284" customFormat="false" ht="15" hidden="false" customHeight="false" outlineLevel="0" collapsed="false">
      <c r="A284" s="11"/>
      <c r="B284" s="10"/>
      <c r="C284" s="8"/>
      <c r="D284" s="8"/>
      <c r="E284" s="14"/>
      <c r="F284" s="8"/>
      <c r="G284" s="2"/>
      <c r="H284" s="2"/>
    </row>
    <row r="285" customFormat="false" ht="15" hidden="false" customHeight="false" outlineLevel="0" collapsed="false">
      <c r="A285" s="11"/>
      <c r="B285" s="10"/>
      <c r="C285" s="8"/>
      <c r="D285" s="8"/>
      <c r="E285" s="14"/>
      <c r="F285" s="8"/>
      <c r="G285" s="2"/>
      <c r="H285" s="2"/>
    </row>
    <row r="286" customFormat="false" ht="15" hidden="false" customHeight="false" outlineLevel="0" collapsed="false">
      <c r="A286" s="11"/>
      <c r="B286" s="10"/>
      <c r="C286" s="8"/>
      <c r="D286" s="8"/>
      <c r="E286" s="14"/>
      <c r="F286" s="8"/>
      <c r="G286" s="2"/>
      <c r="H286" s="2"/>
    </row>
    <row r="287" customFormat="false" ht="15" hidden="false" customHeight="false" outlineLevel="0" collapsed="false">
      <c r="A287" s="11"/>
      <c r="B287" s="10"/>
      <c r="C287" s="8"/>
      <c r="D287" s="8"/>
      <c r="E287" s="14"/>
      <c r="F287" s="8"/>
      <c r="G287" s="2"/>
      <c r="H287" s="2"/>
    </row>
    <row r="288" customFormat="false" ht="15" hidden="false" customHeight="false" outlineLevel="0" collapsed="false">
      <c r="A288" s="11"/>
      <c r="B288" s="10"/>
      <c r="C288" s="8"/>
      <c r="D288" s="8"/>
      <c r="E288" s="14"/>
      <c r="F288" s="8"/>
      <c r="G288" s="2"/>
      <c r="H288" s="2"/>
    </row>
    <row r="289" customFormat="false" ht="15" hidden="false" customHeight="false" outlineLevel="0" collapsed="false">
      <c r="A289" s="11"/>
      <c r="B289" s="10"/>
      <c r="C289" s="8"/>
      <c r="D289" s="8"/>
      <c r="E289" s="14"/>
      <c r="F289" s="8"/>
      <c r="G289" s="2"/>
      <c r="H289" s="2"/>
    </row>
    <row r="290" customFormat="false" ht="15" hidden="false" customHeight="false" outlineLevel="0" collapsed="false">
      <c r="A290" s="11"/>
      <c r="B290" s="10"/>
      <c r="C290" s="8"/>
      <c r="D290" s="8"/>
      <c r="E290" s="14"/>
      <c r="F290" s="8"/>
      <c r="G290" s="2"/>
      <c r="H290" s="2"/>
    </row>
    <row r="291" customFormat="false" ht="15" hidden="false" customHeight="false" outlineLevel="0" collapsed="false">
      <c r="A291" s="11"/>
      <c r="B291" s="10"/>
      <c r="C291" s="8"/>
      <c r="D291" s="8"/>
      <c r="E291" s="14"/>
      <c r="F291" s="8"/>
      <c r="G291" s="2"/>
      <c r="H291" s="2"/>
    </row>
    <row r="292" customFormat="false" ht="15" hidden="false" customHeight="false" outlineLevel="0" collapsed="false">
      <c r="A292" s="11"/>
      <c r="B292" s="10"/>
      <c r="C292" s="8"/>
      <c r="D292" s="8"/>
      <c r="E292" s="14"/>
      <c r="F292" s="8"/>
      <c r="G292" s="2"/>
      <c r="H292" s="2"/>
    </row>
    <row r="293" customFormat="false" ht="15" hidden="false" customHeight="false" outlineLevel="0" collapsed="false">
      <c r="A293" s="11"/>
      <c r="B293" s="10"/>
      <c r="C293" s="8"/>
      <c r="D293" s="8"/>
      <c r="E293" s="14"/>
      <c r="F293" s="8"/>
      <c r="G293" s="2"/>
      <c r="H293" s="2"/>
    </row>
    <row r="294" customFormat="false" ht="15" hidden="false" customHeight="false" outlineLevel="0" collapsed="false">
      <c r="A294" s="11"/>
      <c r="B294" s="10"/>
      <c r="C294" s="8"/>
      <c r="D294" s="8"/>
      <c r="E294" s="14"/>
      <c r="F294" s="8"/>
      <c r="G294" s="2"/>
      <c r="H294" s="2"/>
    </row>
    <row r="295" customFormat="false" ht="15" hidden="false" customHeight="false" outlineLevel="0" collapsed="false">
      <c r="A295" s="11"/>
      <c r="B295" s="10"/>
      <c r="C295" s="8"/>
      <c r="D295" s="8"/>
      <c r="E295" s="14"/>
      <c r="F295" s="8"/>
      <c r="G295" s="2"/>
      <c r="H295" s="2"/>
    </row>
    <row r="296" customFormat="false" ht="15" hidden="false" customHeight="false" outlineLevel="0" collapsed="false">
      <c r="A296" s="11"/>
      <c r="B296" s="10"/>
      <c r="C296" s="8"/>
      <c r="D296" s="8"/>
      <c r="E296" s="14"/>
      <c r="F296" s="8"/>
      <c r="G296" s="2"/>
      <c r="H296" s="2"/>
    </row>
    <row r="297" customFormat="false" ht="15" hidden="false" customHeight="false" outlineLevel="0" collapsed="false">
      <c r="A297" s="11"/>
      <c r="B297" s="10"/>
      <c r="C297" s="8"/>
      <c r="D297" s="8"/>
      <c r="E297" s="14"/>
      <c r="F297" s="8"/>
      <c r="G297" s="2"/>
      <c r="H297" s="2"/>
    </row>
    <row r="298" customFormat="false" ht="15" hidden="false" customHeight="false" outlineLevel="0" collapsed="false">
      <c r="A298" s="11"/>
      <c r="B298" s="10"/>
      <c r="C298" s="8"/>
      <c r="D298" s="8"/>
      <c r="E298" s="14"/>
      <c r="F298" s="8"/>
      <c r="G298" s="2"/>
      <c r="H298" s="2"/>
    </row>
    <row r="299" customFormat="false" ht="15" hidden="false" customHeight="false" outlineLevel="0" collapsed="false">
      <c r="A299" s="11"/>
      <c r="B299" s="10"/>
      <c r="C299" s="8"/>
      <c r="D299" s="8"/>
      <c r="E299" s="14"/>
      <c r="F299" s="8"/>
      <c r="G299" s="2"/>
      <c r="H299" s="2"/>
    </row>
    <row r="300" customFormat="false" ht="15" hidden="false" customHeight="false" outlineLevel="0" collapsed="false">
      <c r="A300" s="11"/>
      <c r="B300" s="10"/>
      <c r="C300" s="8"/>
      <c r="D300" s="8"/>
      <c r="E300" s="14"/>
      <c r="F300" s="8"/>
      <c r="G300" s="2"/>
      <c r="H300" s="2"/>
    </row>
    <row r="301" customFormat="false" ht="15" hidden="false" customHeight="false" outlineLevel="0" collapsed="false">
      <c r="A301" s="11"/>
      <c r="B301" s="10"/>
      <c r="C301" s="8"/>
      <c r="D301" s="8"/>
      <c r="E301" s="14"/>
      <c r="F301" s="8"/>
      <c r="G301" s="2"/>
      <c r="H301" s="2"/>
    </row>
    <row r="302" customFormat="false" ht="15" hidden="false" customHeight="false" outlineLevel="0" collapsed="false">
      <c r="A302" s="11"/>
      <c r="B302" s="10"/>
      <c r="C302" s="8"/>
      <c r="D302" s="8"/>
      <c r="E302" s="14"/>
      <c r="F302" s="8"/>
      <c r="G302" s="2"/>
      <c r="H302" s="2"/>
    </row>
    <row r="303" customFormat="false" ht="15" hidden="false" customHeight="false" outlineLevel="0" collapsed="false">
      <c r="A303" s="11"/>
      <c r="B303" s="10"/>
      <c r="C303" s="8"/>
      <c r="D303" s="8"/>
      <c r="E303" s="14"/>
      <c r="F303" s="8"/>
      <c r="G303" s="2"/>
      <c r="H303" s="2"/>
    </row>
    <row r="304" customFormat="false" ht="15" hidden="false" customHeight="false" outlineLevel="0" collapsed="false">
      <c r="A304" s="11"/>
      <c r="B304" s="10"/>
      <c r="C304" s="8"/>
      <c r="D304" s="8"/>
      <c r="E304" s="14"/>
      <c r="F304" s="8"/>
      <c r="G304" s="2"/>
      <c r="H304" s="2"/>
    </row>
    <row r="305" customFormat="false" ht="15" hidden="false" customHeight="false" outlineLevel="0" collapsed="false">
      <c r="A305" s="11"/>
      <c r="B305" s="10"/>
      <c r="C305" s="8"/>
      <c r="D305" s="8"/>
      <c r="E305" s="14"/>
      <c r="F305" s="8"/>
      <c r="G305" s="2"/>
      <c r="H305" s="2"/>
    </row>
    <row r="306" customFormat="false" ht="15" hidden="false" customHeight="false" outlineLevel="0" collapsed="false">
      <c r="A306" s="11"/>
      <c r="B306" s="10"/>
      <c r="C306" s="8"/>
      <c r="D306" s="8"/>
      <c r="E306" s="14"/>
      <c r="F306" s="8"/>
      <c r="G306" s="2"/>
      <c r="H306" s="2"/>
    </row>
    <row r="307" customFormat="false" ht="15" hidden="false" customHeight="false" outlineLevel="0" collapsed="false">
      <c r="A307" s="11"/>
      <c r="B307" s="10"/>
      <c r="C307" s="8"/>
      <c r="D307" s="8"/>
      <c r="E307" s="14"/>
      <c r="F307" s="8"/>
      <c r="G307" s="2"/>
      <c r="H307" s="2"/>
    </row>
    <row r="308" customFormat="false" ht="15" hidden="false" customHeight="false" outlineLevel="0" collapsed="false">
      <c r="A308" s="11"/>
      <c r="B308" s="10"/>
      <c r="C308" s="8"/>
      <c r="D308" s="8"/>
      <c r="E308" s="14"/>
      <c r="F308" s="8"/>
      <c r="G308" s="2"/>
      <c r="H308" s="2"/>
    </row>
    <row r="309" customFormat="false" ht="15" hidden="false" customHeight="false" outlineLevel="0" collapsed="false">
      <c r="A309" s="11"/>
      <c r="B309" s="10"/>
      <c r="C309" s="8"/>
      <c r="D309" s="8"/>
      <c r="E309" s="14"/>
      <c r="F309" s="8"/>
      <c r="G309" s="2"/>
      <c r="H309" s="2"/>
    </row>
    <row r="310" customFormat="false" ht="15" hidden="false" customHeight="false" outlineLevel="0" collapsed="false">
      <c r="A310" s="11"/>
      <c r="B310" s="10"/>
      <c r="C310" s="8"/>
      <c r="D310" s="8"/>
      <c r="E310" s="14"/>
      <c r="F310" s="8"/>
      <c r="G310" s="2"/>
      <c r="H310" s="2"/>
    </row>
    <row r="311" customFormat="false" ht="15" hidden="false" customHeight="false" outlineLevel="0" collapsed="false">
      <c r="A311" s="11"/>
      <c r="B311" s="10"/>
      <c r="C311" s="8"/>
      <c r="D311" s="8"/>
      <c r="E311" s="14"/>
      <c r="F311" s="8"/>
      <c r="G311" s="2"/>
      <c r="H311" s="2"/>
    </row>
    <row r="312" customFormat="false" ht="15" hidden="false" customHeight="false" outlineLevel="0" collapsed="false">
      <c r="A312" s="11"/>
      <c r="B312" s="10"/>
      <c r="C312" s="8"/>
      <c r="D312" s="8"/>
      <c r="E312" s="14"/>
      <c r="F312" s="8"/>
      <c r="G312" s="2"/>
      <c r="H312" s="2"/>
    </row>
    <row r="313" customFormat="false" ht="15" hidden="false" customHeight="false" outlineLevel="0" collapsed="false">
      <c r="A313" s="11"/>
      <c r="B313" s="10"/>
      <c r="C313" s="8"/>
      <c r="D313" s="8"/>
      <c r="E313" s="14"/>
      <c r="F313" s="8"/>
      <c r="G313" s="2"/>
      <c r="H313" s="2"/>
    </row>
    <row r="314" customFormat="false" ht="15" hidden="false" customHeight="false" outlineLevel="0" collapsed="false">
      <c r="A314" s="11"/>
      <c r="B314" s="10"/>
      <c r="C314" s="8"/>
      <c r="D314" s="8"/>
      <c r="E314" s="14"/>
      <c r="F314" s="8"/>
      <c r="G314" s="2"/>
      <c r="H314" s="2"/>
    </row>
    <row r="315" customFormat="false" ht="15" hidden="false" customHeight="false" outlineLevel="0" collapsed="false">
      <c r="A315" s="11"/>
      <c r="B315" s="10"/>
      <c r="C315" s="8"/>
      <c r="D315" s="8"/>
      <c r="E315" s="14"/>
      <c r="F315" s="8"/>
      <c r="G315" s="2"/>
      <c r="H315" s="2"/>
    </row>
    <row r="316" customFormat="false" ht="15" hidden="false" customHeight="false" outlineLevel="0" collapsed="false">
      <c r="A316" s="11"/>
      <c r="B316" s="10"/>
      <c r="C316" s="8"/>
      <c r="D316" s="8"/>
      <c r="E316" s="14"/>
      <c r="F316" s="8"/>
      <c r="G316" s="2"/>
      <c r="H316" s="2"/>
    </row>
    <row r="317" customFormat="false" ht="15" hidden="false" customHeight="false" outlineLevel="0" collapsed="false">
      <c r="A317" s="11"/>
      <c r="B317" s="10"/>
      <c r="C317" s="8"/>
      <c r="D317" s="8"/>
      <c r="E317" s="14"/>
      <c r="F317" s="8"/>
      <c r="G317" s="2"/>
      <c r="H317" s="2"/>
    </row>
    <row r="318" customFormat="false" ht="15" hidden="false" customHeight="false" outlineLevel="0" collapsed="false">
      <c r="A318" s="11"/>
      <c r="B318" s="10"/>
      <c r="C318" s="8"/>
      <c r="D318" s="8"/>
      <c r="E318" s="14"/>
      <c r="F318" s="8"/>
      <c r="G318" s="2"/>
      <c r="H318" s="2"/>
    </row>
    <row r="319" customFormat="false" ht="15" hidden="false" customHeight="false" outlineLevel="0" collapsed="false">
      <c r="A319" s="11"/>
      <c r="B319" s="10"/>
      <c r="C319" s="8"/>
      <c r="D319" s="8"/>
      <c r="E319" s="14"/>
      <c r="F319" s="8"/>
      <c r="G319" s="2"/>
      <c r="H319" s="2"/>
    </row>
    <row r="320" customFormat="false" ht="15" hidden="false" customHeight="false" outlineLevel="0" collapsed="false">
      <c r="A320" s="11"/>
      <c r="B320" s="10"/>
      <c r="C320" s="8"/>
      <c r="D320" s="8"/>
      <c r="E320" s="14"/>
      <c r="F320" s="8"/>
      <c r="G320" s="2"/>
      <c r="H320" s="2"/>
    </row>
    <row r="321" customFormat="false" ht="15" hidden="false" customHeight="false" outlineLevel="0" collapsed="false">
      <c r="A321" s="11"/>
      <c r="B321" s="10"/>
      <c r="C321" s="8"/>
      <c r="D321" s="8"/>
      <c r="E321" s="14"/>
      <c r="F321" s="8"/>
      <c r="G321" s="2"/>
      <c r="H321" s="2"/>
    </row>
    <row r="322" customFormat="false" ht="15" hidden="false" customHeight="false" outlineLevel="0" collapsed="false">
      <c r="A322" s="11"/>
      <c r="B322" s="10"/>
      <c r="C322" s="8"/>
      <c r="D322" s="8"/>
      <c r="E322" s="14"/>
      <c r="F322" s="8"/>
      <c r="G322" s="2"/>
      <c r="H322" s="2"/>
    </row>
    <row r="323" customFormat="false" ht="15" hidden="false" customHeight="false" outlineLevel="0" collapsed="false">
      <c r="A323" s="11"/>
      <c r="B323" s="10"/>
      <c r="C323" s="8"/>
      <c r="D323" s="8"/>
      <c r="E323" s="14"/>
      <c r="F323" s="8"/>
      <c r="G323" s="2"/>
      <c r="H323" s="2"/>
    </row>
    <row r="324" customFormat="false" ht="15" hidden="false" customHeight="false" outlineLevel="0" collapsed="false">
      <c r="A324" s="11"/>
      <c r="B324" s="10"/>
      <c r="C324" s="8"/>
      <c r="D324" s="8"/>
      <c r="E324" s="14"/>
      <c r="F324" s="8"/>
      <c r="G324" s="2"/>
      <c r="H324" s="2"/>
    </row>
    <row r="325" customFormat="false" ht="15" hidden="false" customHeight="false" outlineLevel="0" collapsed="false">
      <c r="A325" s="11"/>
      <c r="B325" s="10"/>
      <c r="C325" s="8"/>
      <c r="D325" s="8"/>
      <c r="E325" s="14"/>
      <c r="F325" s="8"/>
      <c r="G325" s="2"/>
      <c r="H325" s="2"/>
    </row>
    <row r="326" customFormat="false" ht="15" hidden="false" customHeight="false" outlineLevel="0" collapsed="false">
      <c r="A326" s="11"/>
      <c r="B326" s="10"/>
      <c r="C326" s="8"/>
      <c r="D326" s="8"/>
      <c r="E326" s="14"/>
      <c r="F326" s="8"/>
      <c r="G326" s="2"/>
      <c r="H326" s="2"/>
    </row>
    <row r="327" customFormat="false" ht="15" hidden="false" customHeight="false" outlineLevel="0" collapsed="false">
      <c r="A327" s="11"/>
      <c r="B327" s="10"/>
      <c r="C327" s="8"/>
      <c r="D327" s="8"/>
      <c r="E327" s="14"/>
      <c r="F327" s="8"/>
      <c r="G327" s="2"/>
      <c r="H327" s="2"/>
    </row>
    <row r="328" customFormat="false" ht="15" hidden="false" customHeight="false" outlineLevel="0" collapsed="false">
      <c r="A328" s="11"/>
      <c r="B328" s="10"/>
      <c r="C328" s="8"/>
      <c r="D328" s="8"/>
      <c r="E328" s="14"/>
      <c r="F328" s="8"/>
      <c r="G328" s="2"/>
      <c r="H328" s="2"/>
    </row>
    <row r="329" customFormat="false" ht="15" hidden="false" customHeight="false" outlineLevel="0" collapsed="false">
      <c r="A329" s="11"/>
      <c r="B329" s="10"/>
      <c r="C329" s="8"/>
      <c r="D329" s="8"/>
      <c r="E329" s="14"/>
      <c r="F329" s="8"/>
      <c r="G329" s="2"/>
      <c r="H329" s="2"/>
    </row>
    <row r="330" customFormat="false" ht="15" hidden="false" customHeight="false" outlineLevel="0" collapsed="false">
      <c r="A330" s="11"/>
      <c r="B330" s="10"/>
      <c r="C330" s="8"/>
      <c r="D330" s="8"/>
      <c r="E330" s="14"/>
      <c r="F330" s="8"/>
      <c r="G330" s="2"/>
      <c r="H330" s="2"/>
    </row>
    <row r="331" customFormat="false" ht="15" hidden="false" customHeight="false" outlineLevel="0" collapsed="false">
      <c r="A331" s="11"/>
      <c r="B331" s="10"/>
      <c r="C331" s="8"/>
      <c r="D331" s="8"/>
      <c r="E331" s="14"/>
      <c r="F331" s="8"/>
      <c r="G331" s="2"/>
      <c r="H331" s="2"/>
    </row>
    <row r="332" customFormat="false" ht="15" hidden="false" customHeight="false" outlineLevel="0" collapsed="false">
      <c r="A332" s="11"/>
      <c r="B332" s="10"/>
      <c r="C332" s="8"/>
      <c r="D332" s="8"/>
      <c r="E332" s="14"/>
      <c r="F332" s="8"/>
      <c r="G332" s="2"/>
      <c r="H332" s="2"/>
    </row>
    <row r="333" customFormat="false" ht="15" hidden="false" customHeight="false" outlineLevel="0" collapsed="false">
      <c r="A333" s="11"/>
      <c r="B333" s="10"/>
      <c r="C333" s="8"/>
      <c r="D333" s="8"/>
      <c r="E333" s="14"/>
      <c r="F333" s="8"/>
      <c r="G333" s="2"/>
      <c r="H333" s="2"/>
    </row>
    <row r="334" customFormat="false" ht="15" hidden="false" customHeight="false" outlineLevel="0" collapsed="false">
      <c r="A334" s="11"/>
      <c r="B334" s="10"/>
      <c r="C334" s="8"/>
      <c r="D334" s="8"/>
      <c r="E334" s="14"/>
      <c r="F334" s="8"/>
      <c r="G334" s="2"/>
      <c r="H334" s="2"/>
    </row>
    <row r="335" customFormat="false" ht="15" hidden="false" customHeight="false" outlineLevel="0" collapsed="false">
      <c r="A335" s="11"/>
      <c r="B335" s="10"/>
      <c r="C335" s="8"/>
      <c r="D335" s="8"/>
      <c r="E335" s="14"/>
      <c r="F335" s="8"/>
      <c r="G335" s="2"/>
      <c r="H335" s="2"/>
    </row>
    <row r="336" customFormat="false" ht="15" hidden="false" customHeight="false" outlineLevel="0" collapsed="false">
      <c r="A336" s="11"/>
      <c r="B336" s="10"/>
      <c r="C336" s="8"/>
      <c r="D336" s="8"/>
      <c r="E336" s="14"/>
      <c r="F336" s="8"/>
      <c r="G336" s="2"/>
      <c r="H336" s="2"/>
    </row>
    <row r="337" customFormat="false" ht="15" hidden="false" customHeight="false" outlineLevel="0" collapsed="false">
      <c r="A337" s="11"/>
      <c r="B337" s="10"/>
      <c r="C337" s="8"/>
      <c r="D337" s="8"/>
      <c r="E337" s="14"/>
      <c r="F337" s="8"/>
      <c r="G337" s="2"/>
      <c r="H337" s="2"/>
    </row>
    <row r="338" customFormat="false" ht="15" hidden="false" customHeight="false" outlineLevel="0" collapsed="false">
      <c r="A338" s="11"/>
      <c r="B338" s="10"/>
      <c r="C338" s="8"/>
      <c r="D338" s="8"/>
      <c r="E338" s="14"/>
      <c r="F338" s="8"/>
      <c r="G338" s="2"/>
      <c r="H338" s="2"/>
    </row>
    <row r="339" customFormat="false" ht="15" hidden="false" customHeight="false" outlineLevel="0" collapsed="false">
      <c r="A339" s="11"/>
      <c r="B339" s="10"/>
      <c r="C339" s="8"/>
      <c r="D339" s="8"/>
      <c r="E339" s="14"/>
      <c r="F339" s="8"/>
      <c r="G339" s="2"/>
      <c r="H339" s="2"/>
    </row>
    <row r="340" customFormat="false" ht="15" hidden="false" customHeight="false" outlineLevel="0" collapsed="false">
      <c r="A340" s="11"/>
      <c r="B340" s="10"/>
      <c r="C340" s="8"/>
      <c r="D340" s="8"/>
      <c r="E340" s="14"/>
      <c r="F340" s="8"/>
      <c r="G340" s="2"/>
      <c r="H340" s="2"/>
    </row>
    <row r="341" customFormat="false" ht="15" hidden="false" customHeight="false" outlineLevel="0" collapsed="false">
      <c r="A341" s="11"/>
      <c r="B341" s="10"/>
      <c r="C341" s="8"/>
      <c r="D341" s="8"/>
      <c r="E341" s="14"/>
      <c r="F341" s="8"/>
      <c r="G341" s="2"/>
      <c r="H341" s="2"/>
    </row>
    <row r="342" customFormat="false" ht="15" hidden="false" customHeight="false" outlineLevel="0" collapsed="false">
      <c r="A342" s="11"/>
      <c r="B342" s="10"/>
      <c r="C342" s="8"/>
      <c r="D342" s="8"/>
      <c r="E342" s="14"/>
      <c r="F342" s="8"/>
      <c r="G342" s="2"/>
      <c r="H342" s="2"/>
    </row>
    <row r="343" customFormat="false" ht="15" hidden="false" customHeight="false" outlineLevel="0" collapsed="false">
      <c r="A343" s="11"/>
      <c r="B343" s="10"/>
      <c r="C343" s="8"/>
      <c r="D343" s="8"/>
      <c r="E343" s="14"/>
      <c r="F343" s="8"/>
      <c r="G343" s="2"/>
      <c r="H343" s="2"/>
    </row>
    <row r="344" customFormat="false" ht="15" hidden="false" customHeight="false" outlineLevel="0" collapsed="false">
      <c r="A344" s="11"/>
      <c r="B344" s="10"/>
      <c r="C344" s="8"/>
      <c r="D344" s="8"/>
      <c r="E344" s="14"/>
      <c r="F344" s="8"/>
      <c r="G344" s="2"/>
      <c r="H344" s="2"/>
    </row>
    <row r="345" customFormat="false" ht="15" hidden="false" customHeight="false" outlineLevel="0" collapsed="false">
      <c r="A345" s="11"/>
      <c r="B345" s="10"/>
      <c r="C345" s="8"/>
      <c r="D345" s="8"/>
      <c r="E345" s="14"/>
      <c r="F345" s="8"/>
      <c r="G345" s="2"/>
      <c r="H345" s="2"/>
    </row>
    <row r="346" customFormat="false" ht="15" hidden="false" customHeight="false" outlineLevel="0" collapsed="false">
      <c r="A346" s="11"/>
      <c r="B346" s="10"/>
      <c r="C346" s="8"/>
      <c r="D346" s="8"/>
      <c r="E346" s="14"/>
      <c r="F346" s="8"/>
      <c r="G346" s="2"/>
      <c r="H346" s="2"/>
    </row>
    <row r="347" customFormat="false" ht="15" hidden="false" customHeight="false" outlineLevel="0" collapsed="false">
      <c r="A347" s="11"/>
      <c r="B347" s="10"/>
      <c r="C347" s="8"/>
      <c r="D347" s="8"/>
      <c r="E347" s="14"/>
      <c r="F347" s="8"/>
      <c r="G347" s="2"/>
      <c r="H347" s="2"/>
    </row>
    <row r="348" customFormat="false" ht="15" hidden="false" customHeight="false" outlineLevel="0" collapsed="false">
      <c r="A348" s="11"/>
      <c r="B348" s="10"/>
      <c r="C348" s="8"/>
      <c r="D348" s="8"/>
      <c r="E348" s="14"/>
      <c r="F348" s="8"/>
      <c r="G348" s="2"/>
      <c r="H348" s="2"/>
    </row>
    <row r="349" customFormat="false" ht="15" hidden="false" customHeight="false" outlineLevel="0" collapsed="false">
      <c r="A349" s="11"/>
      <c r="B349" s="10"/>
      <c r="C349" s="8"/>
      <c r="D349" s="8"/>
      <c r="E349" s="14"/>
      <c r="F349" s="8"/>
      <c r="G349" s="2"/>
      <c r="H349" s="2"/>
    </row>
    <row r="350" customFormat="false" ht="15" hidden="false" customHeight="false" outlineLevel="0" collapsed="false">
      <c r="A350" s="11"/>
      <c r="B350" s="10"/>
      <c r="C350" s="8"/>
      <c r="D350" s="8"/>
      <c r="E350" s="14"/>
      <c r="F350" s="8"/>
      <c r="G350" s="2"/>
      <c r="H350" s="2"/>
    </row>
    <row r="351" customFormat="false" ht="15" hidden="false" customHeight="false" outlineLevel="0" collapsed="false">
      <c r="A351" s="11"/>
      <c r="B351" s="10"/>
      <c r="C351" s="8"/>
      <c r="D351" s="8"/>
      <c r="E351" s="14"/>
      <c r="F351" s="8"/>
      <c r="G351" s="2"/>
      <c r="H351" s="2"/>
    </row>
    <row r="352" customFormat="false" ht="15" hidden="false" customHeight="false" outlineLevel="0" collapsed="false">
      <c r="A352" s="11"/>
      <c r="B352" s="10"/>
      <c r="C352" s="8"/>
      <c r="D352" s="8"/>
      <c r="E352" s="14"/>
      <c r="F352" s="8"/>
      <c r="G352" s="2"/>
      <c r="H352" s="2"/>
    </row>
    <row r="353" customFormat="false" ht="15" hidden="false" customHeight="false" outlineLevel="0" collapsed="false">
      <c r="A353" s="11"/>
      <c r="B353" s="10"/>
      <c r="C353" s="8"/>
      <c r="D353" s="8"/>
      <c r="E353" s="14"/>
      <c r="F353" s="8"/>
      <c r="G353" s="2"/>
      <c r="H353" s="2"/>
    </row>
    <row r="354" customFormat="false" ht="15" hidden="false" customHeight="false" outlineLevel="0" collapsed="false">
      <c r="A354" s="11"/>
      <c r="B354" s="10"/>
      <c r="C354" s="8"/>
      <c r="D354" s="8"/>
      <c r="E354" s="14"/>
      <c r="F354" s="8"/>
      <c r="G354" s="2"/>
      <c r="H354" s="2"/>
    </row>
    <row r="355" customFormat="false" ht="15" hidden="false" customHeight="false" outlineLevel="0" collapsed="false">
      <c r="A355" s="11"/>
      <c r="B355" s="10"/>
      <c r="C355" s="8"/>
      <c r="D355" s="8"/>
      <c r="E355" s="14"/>
      <c r="F355" s="8"/>
      <c r="G355" s="2"/>
      <c r="H355" s="2"/>
    </row>
    <row r="356" customFormat="false" ht="15" hidden="false" customHeight="false" outlineLevel="0" collapsed="false">
      <c r="A356" s="11"/>
      <c r="B356" s="10"/>
      <c r="C356" s="8"/>
      <c r="D356" s="8"/>
      <c r="E356" s="14"/>
      <c r="F356" s="8"/>
      <c r="G356" s="2"/>
      <c r="H356" s="2"/>
    </row>
    <row r="357" customFormat="false" ht="15" hidden="false" customHeight="false" outlineLevel="0" collapsed="false">
      <c r="A357" s="11"/>
      <c r="B357" s="10"/>
      <c r="C357" s="8"/>
      <c r="D357" s="8"/>
      <c r="E357" s="14"/>
      <c r="F357" s="8"/>
      <c r="G357" s="2"/>
      <c r="H357" s="2"/>
    </row>
    <row r="358" customFormat="false" ht="15" hidden="false" customHeight="false" outlineLevel="0" collapsed="false">
      <c r="A358" s="11"/>
      <c r="B358" s="10"/>
      <c r="C358" s="8"/>
      <c r="D358" s="8"/>
      <c r="E358" s="14"/>
      <c r="F358" s="8"/>
      <c r="G358" s="2"/>
      <c r="H358" s="2"/>
    </row>
    <row r="359" customFormat="false" ht="15" hidden="false" customHeight="false" outlineLevel="0" collapsed="false">
      <c r="A359" s="11"/>
      <c r="B359" s="10"/>
      <c r="C359" s="8"/>
      <c r="D359" s="8"/>
      <c r="E359" s="14"/>
      <c r="F359" s="8"/>
      <c r="G359" s="2"/>
      <c r="H359" s="2"/>
    </row>
    <row r="360" customFormat="false" ht="15" hidden="false" customHeight="false" outlineLevel="0" collapsed="false">
      <c r="A360" s="11"/>
      <c r="B360" s="10"/>
      <c r="C360" s="8"/>
      <c r="D360" s="8"/>
      <c r="E360" s="14"/>
      <c r="F360" s="8"/>
      <c r="G360" s="2"/>
      <c r="H360" s="2"/>
    </row>
    <row r="361" customFormat="false" ht="15" hidden="false" customHeight="false" outlineLevel="0" collapsed="false">
      <c r="A361" s="11"/>
      <c r="B361" s="10"/>
      <c r="C361" s="8"/>
      <c r="D361" s="8"/>
      <c r="E361" s="14"/>
      <c r="F361" s="8"/>
      <c r="G361" s="2"/>
      <c r="H361" s="2"/>
    </row>
    <row r="362" customFormat="false" ht="15" hidden="false" customHeight="false" outlineLevel="0" collapsed="false">
      <c r="A362" s="11"/>
      <c r="B362" s="10"/>
      <c r="C362" s="8"/>
      <c r="D362" s="8"/>
      <c r="E362" s="14"/>
      <c r="F362" s="8"/>
      <c r="G362" s="2"/>
      <c r="H362" s="2"/>
    </row>
    <row r="363" customFormat="false" ht="15" hidden="false" customHeight="false" outlineLevel="0" collapsed="false">
      <c r="A363" s="11"/>
      <c r="B363" s="10"/>
      <c r="C363" s="8"/>
      <c r="D363" s="8"/>
      <c r="E363" s="14"/>
      <c r="F363" s="8"/>
      <c r="G363" s="2"/>
      <c r="H363" s="2"/>
    </row>
    <row r="364" customFormat="false" ht="15" hidden="false" customHeight="false" outlineLevel="0" collapsed="false">
      <c r="A364" s="11"/>
      <c r="B364" s="10"/>
      <c r="C364" s="8"/>
      <c r="D364" s="8"/>
      <c r="E364" s="14"/>
      <c r="F364" s="8"/>
      <c r="G364" s="2"/>
      <c r="H364" s="2"/>
    </row>
    <row r="365" customFormat="false" ht="15" hidden="false" customHeight="false" outlineLevel="0" collapsed="false">
      <c r="A365" s="11"/>
      <c r="B365" s="10"/>
      <c r="C365" s="8"/>
      <c r="D365" s="8"/>
      <c r="E365" s="14"/>
      <c r="F365" s="8"/>
      <c r="G365" s="2"/>
      <c r="H365" s="2"/>
    </row>
    <row r="366" customFormat="false" ht="15" hidden="false" customHeight="false" outlineLevel="0" collapsed="false">
      <c r="A366" s="11"/>
      <c r="B366" s="10"/>
      <c r="C366" s="8"/>
      <c r="D366" s="8"/>
      <c r="E366" s="14"/>
      <c r="F366" s="8"/>
      <c r="G366" s="2"/>
      <c r="H366" s="2"/>
    </row>
    <row r="367" customFormat="false" ht="15" hidden="false" customHeight="false" outlineLevel="0" collapsed="false">
      <c r="A367" s="11"/>
      <c r="B367" s="10"/>
      <c r="C367" s="8"/>
      <c r="D367" s="8"/>
      <c r="E367" s="14"/>
      <c r="F367" s="8"/>
      <c r="G367" s="2"/>
      <c r="H367" s="2"/>
    </row>
    <row r="368" customFormat="false" ht="15" hidden="false" customHeight="false" outlineLevel="0" collapsed="false">
      <c r="A368" s="11"/>
      <c r="B368" s="10"/>
      <c r="C368" s="8"/>
      <c r="D368" s="8"/>
      <c r="E368" s="14"/>
      <c r="F368" s="8"/>
      <c r="G368" s="2"/>
      <c r="H368" s="2"/>
    </row>
    <row r="369" customFormat="false" ht="15" hidden="false" customHeight="false" outlineLevel="0" collapsed="false">
      <c r="A369" s="11"/>
      <c r="B369" s="10"/>
      <c r="C369" s="8"/>
      <c r="D369" s="8"/>
      <c r="E369" s="14"/>
      <c r="F369" s="8"/>
      <c r="G369" s="2"/>
      <c r="H369" s="2"/>
    </row>
    <row r="370" customFormat="false" ht="15" hidden="false" customHeight="false" outlineLevel="0" collapsed="false">
      <c r="A370" s="11"/>
      <c r="B370" s="10"/>
      <c r="C370" s="8"/>
      <c r="D370" s="8"/>
      <c r="E370" s="14"/>
      <c r="F370" s="8"/>
      <c r="G370" s="2"/>
      <c r="H370" s="2"/>
    </row>
    <row r="371" customFormat="false" ht="15" hidden="false" customHeight="false" outlineLevel="0" collapsed="false">
      <c r="A371" s="11"/>
      <c r="B371" s="10"/>
      <c r="C371" s="8"/>
      <c r="D371" s="8"/>
      <c r="E371" s="14"/>
      <c r="F371" s="8"/>
      <c r="G371" s="2"/>
      <c r="H371" s="2"/>
    </row>
    <row r="372" customFormat="false" ht="15" hidden="false" customHeight="false" outlineLevel="0" collapsed="false">
      <c r="A372" s="11"/>
      <c r="B372" s="10"/>
      <c r="C372" s="8"/>
      <c r="D372" s="8"/>
      <c r="E372" s="14"/>
      <c r="F372" s="8"/>
      <c r="G372" s="2"/>
      <c r="H372" s="2"/>
    </row>
    <row r="373" customFormat="false" ht="15" hidden="false" customHeight="false" outlineLevel="0" collapsed="false">
      <c r="A373" s="11"/>
      <c r="B373" s="10"/>
      <c r="C373" s="8"/>
      <c r="D373" s="8"/>
      <c r="E373" s="14"/>
      <c r="F373" s="8"/>
      <c r="G373" s="2"/>
      <c r="H373" s="2"/>
    </row>
    <row r="374" customFormat="false" ht="15" hidden="false" customHeight="false" outlineLevel="0" collapsed="false">
      <c r="A374" s="11"/>
      <c r="B374" s="10"/>
      <c r="C374" s="8"/>
      <c r="D374" s="8"/>
      <c r="E374" s="14"/>
      <c r="F374" s="8"/>
      <c r="G374" s="2"/>
      <c r="H374" s="2"/>
    </row>
    <row r="375" customFormat="false" ht="15" hidden="false" customHeight="false" outlineLevel="0" collapsed="false">
      <c r="A375" s="11"/>
      <c r="B375" s="10"/>
      <c r="C375" s="8"/>
      <c r="D375" s="8"/>
      <c r="E375" s="14"/>
      <c r="F375" s="8"/>
      <c r="G375" s="2"/>
      <c r="H375" s="2"/>
    </row>
    <row r="376" customFormat="false" ht="15" hidden="false" customHeight="false" outlineLevel="0" collapsed="false">
      <c r="A376" s="11"/>
      <c r="B376" s="10"/>
      <c r="C376" s="8"/>
      <c r="D376" s="8"/>
      <c r="E376" s="14"/>
      <c r="F376" s="8"/>
      <c r="G376" s="2"/>
      <c r="H376" s="2"/>
    </row>
    <row r="377" customFormat="false" ht="15" hidden="false" customHeight="false" outlineLevel="0" collapsed="false">
      <c r="A377" s="11"/>
      <c r="B377" s="10"/>
      <c r="C377" s="8"/>
      <c r="D377" s="8"/>
      <c r="E377" s="14"/>
      <c r="F377" s="8"/>
      <c r="G377" s="2"/>
      <c r="H377" s="2"/>
    </row>
    <row r="378" customFormat="false" ht="15" hidden="false" customHeight="false" outlineLevel="0" collapsed="false">
      <c r="A378" s="11"/>
      <c r="B378" s="10"/>
      <c r="C378" s="8"/>
      <c r="D378" s="8"/>
      <c r="E378" s="14"/>
      <c r="F378" s="8"/>
      <c r="G378" s="2"/>
      <c r="H378" s="2"/>
    </row>
    <row r="379" customFormat="false" ht="15" hidden="false" customHeight="false" outlineLevel="0" collapsed="false">
      <c r="A379" s="11"/>
      <c r="B379" s="10"/>
      <c r="C379" s="8"/>
      <c r="D379" s="8"/>
      <c r="E379" s="14"/>
      <c r="F379" s="8"/>
      <c r="G379" s="2"/>
      <c r="H379" s="2"/>
    </row>
    <row r="380" customFormat="false" ht="15" hidden="false" customHeight="false" outlineLevel="0" collapsed="false">
      <c r="A380" s="11"/>
      <c r="B380" s="10"/>
      <c r="C380" s="8"/>
      <c r="D380" s="8"/>
      <c r="E380" s="14"/>
      <c r="F380" s="8"/>
      <c r="G380" s="2"/>
      <c r="H380" s="2"/>
    </row>
    <row r="381" customFormat="false" ht="15" hidden="false" customHeight="false" outlineLevel="0" collapsed="false">
      <c r="A381" s="11"/>
      <c r="B381" s="10"/>
      <c r="C381" s="8"/>
      <c r="D381" s="8"/>
      <c r="E381" s="14"/>
      <c r="F381" s="8"/>
      <c r="G381" s="2"/>
      <c r="H381" s="2"/>
    </row>
    <row r="382" customFormat="false" ht="15" hidden="false" customHeight="false" outlineLevel="0" collapsed="false">
      <c r="A382" s="11"/>
      <c r="B382" s="10"/>
      <c r="C382" s="8"/>
      <c r="D382" s="8"/>
      <c r="E382" s="14"/>
      <c r="F382" s="8"/>
      <c r="G382" s="2"/>
      <c r="H382" s="2"/>
    </row>
    <row r="383" customFormat="false" ht="15" hidden="false" customHeight="false" outlineLevel="0" collapsed="false">
      <c r="A383" s="11"/>
      <c r="B383" s="10"/>
      <c r="C383" s="8"/>
      <c r="D383" s="8"/>
      <c r="E383" s="14"/>
      <c r="F383" s="8"/>
      <c r="G383" s="2"/>
      <c r="H383" s="2"/>
    </row>
    <row r="384" customFormat="false" ht="15" hidden="false" customHeight="false" outlineLevel="0" collapsed="false">
      <c r="A384" s="11"/>
      <c r="B384" s="10"/>
      <c r="C384" s="8"/>
      <c r="D384" s="8"/>
      <c r="E384" s="14"/>
      <c r="F384" s="8"/>
      <c r="G384" s="2"/>
      <c r="H384" s="2"/>
    </row>
    <row r="385" customFormat="false" ht="15" hidden="false" customHeight="false" outlineLevel="0" collapsed="false">
      <c r="A385" s="11"/>
      <c r="B385" s="10"/>
      <c r="C385" s="8"/>
      <c r="D385" s="8"/>
      <c r="E385" s="14"/>
      <c r="F385" s="8"/>
      <c r="G385" s="2"/>
      <c r="H385" s="2"/>
    </row>
    <row r="386" customFormat="false" ht="15" hidden="false" customHeight="false" outlineLevel="0" collapsed="false">
      <c r="A386" s="11"/>
      <c r="B386" s="10"/>
      <c r="C386" s="8"/>
      <c r="D386" s="8"/>
      <c r="E386" s="14"/>
      <c r="F386" s="8"/>
      <c r="G386" s="2"/>
      <c r="H386" s="2"/>
    </row>
    <row r="387" customFormat="false" ht="15" hidden="false" customHeight="false" outlineLevel="0" collapsed="false">
      <c r="A387" s="11"/>
      <c r="B387" s="10"/>
      <c r="C387" s="8"/>
      <c r="D387" s="8"/>
      <c r="E387" s="14"/>
      <c r="F387" s="8"/>
      <c r="G387" s="2"/>
      <c r="H387" s="2"/>
    </row>
    <row r="388" customFormat="false" ht="15" hidden="false" customHeight="false" outlineLevel="0" collapsed="false">
      <c r="A388" s="11"/>
      <c r="B388" s="10"/>
      <c r="C388" s="8"/>
      <c r="D388" s="8"/>
      <c r="E388" s="14"/>
      <c r="F388" s="8"/>
      <c r="G388" s="2"/>
      <c r="H388" s="2"/>
    </row>
    <row r="389" customFormat="false" ht="15" hidden="false" customHeight="false" outlineLevel="0" collapsed="false">
      <c r="A389" s="11"/>
      <c r="B389" s="10"/>
      <c r="C389" s="8"/>
      <c r="D389" s="8"/>
      <c r="E389" s="14"/>
      <c r="F389" s="8"/>
      <c r="G389" s="2"/>
      <c r="H389" s="2"/>
    </row>
    <row r="390" customFormat="false" ht="15" hidden="false" customHeight="false" outlineLevel="0" collapsed="false">
      <c r="A390" s="11"/>
      <c r="B390" s="10"/>
      <c r="C390" s="8"/>
      <c r="D390" s="8"/>
      <c r="E390" s="14"/>
      <c r="F390" s="8"/>
      <c r="G390" s="2"/>
      <c r="H390" s="2"/>
    </row>
    <row r="391" customFormat="false" ht="15" hidden="false" customHeight="false" outlineLevel="0" collapsed="false">
      <c r="A391" s="11"/>
      <c r="B391" s="10"/>
      <c r="C391" s="8"/>
      <c r="D391" s="8"/>
      <c r="E391" s="14"/>
      <c r="F391" s="8"/>
      <c r="G391" s="2"/>
      <c r="H391" s="2"/>
    </row>
    <row r="392" customFormat="false" ht="15" hidden="false" customHeight="false" outlineLevel="0" collapsed="false">
      <c r="A392" s="11"/>
      <c r="B392" s="10"/>
      <c r="C392" s="8"/>
      <c r="D392" s="8"/>
      <c r="E392" s="14"/>
      <c r="F392" s="8"/>
      <c r="G392" s="2"/>
      <c r="H392" s="2"/>
    </row>
    <row r="393" customFormat="false" ht="15" hidden="false" customHeight="false" outlineLevel="0" collapsed="false">
      <c r="A393" s="11"/>
      <c r="B393" s="10"/>
      <c r="C393" s="8"/>
      <c r="D393" s="8"/>
      <c r="E393" s="14"/>
      <c r="F393" s="8"/>
      <c r="G393" s="2"/>
      <c r="H393" s="2"/>
    </row>
    <row r="394" customFormat="false" ht="15" hidden="false" customHeight="false" outlineLevel="0" collapsed="false">
      <c r="A394" s="11"/>
      <c r="B394" s="10"/>
      <c r="C394" s="8"/>
      <c r="D394" s="8"/>
      <c r="E394" s="14"/>
      <c r="F394" s="8"/>
      <c r="G394" s="2"/>
      <c r="H394" s="2"/>
    </row>
    <row r="395" customFormat="false" ht="15" hidden="false" customHeight="false" outlineLevel="0" collapsed="false">
      <c r="A395" s="11"/>
      <c r="B395" s="10"/>
      <c r="C395" s="8"/>
      <c r="D395" s="8"/>
      <c r="E395" s="14"/>
      <c r="F395" s="8"/>
      <c r="G395" s="2"/>
      <c r="H395" s="2"/>
    </row>
    <row r="396" customFormat="false" ht="15" hidden="false" customHeight="false" outlineLevel="0" collapsed="false">
      <c r="A396" s="11"/>
      <c r="B396" s="10"/>
      <c r="C396" s="8"/>
      <c r="D396" s="8"/>
      <c r="E396" s="14"/>
      <c r="F396" s="8"/>
      <c r="G396" s="2"/>
      <c r="H396" s="2"/>
    </row>
    <row r="397" customFormat="false" ht="15" hidden="false" customHeight="false" outlineLevel="0" collapsed="false">
      <c r="A397" s="11"/>
      <c r="B397" s="10"/>
      <c r="C397" s="8"/>
      <c r="D397" s="8"/>
      <c r="E397" s="14"/>
      <c r="F397" s="8"/>
      <c r="G397" s="2"/>
      <c r="H397" s="2"/>
    </row>
    <row r="398" customFormat="false" ht="15" hidden="false" customHeight="false" outlineLevel="0" collapsed="false">
      <c r="A398" s="11"/>
      <c r="B398" s="10"/>
      <c r="C398" s="8"/>
      <c r="D398" s="8"/>
      <c r="E398" s="14"/>
      <c r="F398" s="8"/>
      <c r="G398" s="2"/>
      <c r="H398" s="2"/>
    </row>
    <row r="399" customFormat="false" ht="15" hidden="false" customHeight="false" outlineLevel="0" collapsed="false">
      <c r="A399" s="11"/>
      <c r="B399" s="10"/>
      <c r="C399" s="8"/>
      <c r="D399" s="8"/>
      <c r="E399" s="14"/>
      <c r="F399" s="8"/>
      <c r="G399" s="2"/>
      <c r="H399" s="2"/>
    </row>
    <row r="400" customFormat="false" ht="15" hidden="false" customHeight="false" outlineLevel="0" collapsed="false">
      <c r="A400" s="11"/>
      <c r="B400" s="10"/>
      <c r="C400" s="8"/>
      <c r="D400" s="8"/>
      <c r="E400" s="14"/>
      <c r="F400" s="8"/>
      <c r="G400" s="2"/>
      <c r="H400" s="2"/>
    </row>
    <row r="401" customFormat="false" ht="15" hidden="false" customHeight="false" outlineLevel="0" collapsed="false">
      <c r="A401" s="11"/>
      <c r="B401" s="10"/>
      <c r="C401" s="8"/>
      <c r="D401" s="8"/>
      <c r="E401" s="14"/>
      <c r="F401" s="8"/>
      <c r="G401" s="2"/>
      <c r="H401" s="2"/>
    </row>
    <row r="402" customFormat="false" ht="15" hidden="false" customHeight="false" outlineLevel="0" collapsed="false">
      <c r="A402" s="11"/>
      <c r="B402" s="10"/>
      <c r="C402" s="8"/>
      <c r="D402" s="8"/>
      <c r="E402" s="14"/>
      <c r="F402" s="8"/>
      <c r="G402" s="2"/>
      <c r="H402" s="2"/>
    </row>
    <row r="403" customFormat="false" ht="15" hidden="false" customHeight="false" outlineLevel="0" collapsed="false">
      <c r="A403" s="11"/>
      <c r="B403" s="10"/>
      <c r="C403" s="8"/>
      <c r="D403" s="8"/>
      <c r="E403" s="14"/>
      <c r="F403" s="8"/>
      <c r="G403" s="2"/>
      <c r="H403" s="2"/>
    </row>
    <row r="404" customFormat="false" ht="15" hidden="false" customHeight="false" outlineLevel="0" collapsed="false">
      <c r="A404" s="11"/>
      <c r="B404" s="10"/>
      <c r="C404" s="8"/>
      <c r="D404" s="8"/>
      <c r="E404" s="14"/>
      <c r="F404" s="8"/>
      <c r="G404" s="2"/>
      <c r="H404" s="2"/>
    </row>
    <row r="405" customFormat="false" ht="15" hidden="false" customHeight="false" outlineLevel="0" collapsed="false">
      <c r="A405" s="11"/>
      <c r="B405" s="10"/>
      <c r="C405" s="8"/>
      <c r="D405" s="8"/>
      <c r="E405" s="14"/>
      <c r="F405" s="8"/>
      <c r="G405" s="2"/>
      <c r="H405" s="2"/>
    </row>
    <row r="406" customFormat="false" ht="15" hidden="false" customHeight="false" outlineLevel="0" collapsed="false">
      <c r="A406" s="11"/>
      <c r="B406" s="10"/>
      <c r="C406" s="8"/>
      <c r="D406" s="8"/>
      <c r="E406" s="14"/>
      <c r="F406" s="8"/>
      <c r="G406" s="2"/>
      <c r="H406" s="2"/>
    </row>
    <row r="407" customFormat="false" ht="15" hidden="false" customHeight="false" outlineLevel="0" collapsed="false">
      <c r="A407" s="11"/>
      <c r="B407" s="10"/>
      <c r="C407" s="8"/>
      <c r="D407" s="8"/>
      <c r="E407" s="14"/>
      <c r="F407" s="8"/>
      <c r="G407" s="2"/>
      <c r="H407" s="2"/>
    </row>
    <row r="408" customFormat="false" ht="15" hidden="false" customHeight="false" outlineLevel="0" collapsed="false">
      <c r="A408" s="11"/>
      <c r="B408" s="10"/>
      <c r="C408" s="8"/>
      <c r="D408" s="8"/>
      <c r="E408" s="14"/>
      <c r="F408" s="8"/>
      <c r="G408" s="2"/>
      <c r="H408" s="2"/>
    </row>
    <row r="409" customFormat="false" ht="15" hidden="false" customHeight="false" outlineLevel="0" collapsed="false">
      <c r="A409" s="11"/>
      <c r="B409" s="10"/>
      <c r="C409" s="8"/>
      <c r="D409" s="8"/>
      <c r="E409" s="14"/>
      <c r="F409" s="8"/>
      <c r="G409" s="2"/>
      <c r="H409" s="2"/>
    </row>
    <row r="410" customFormat="false" ht="15" hidden="false" customHeight="false" outlineLevel="0" collapsed="false">
      <c r="A410" s="11"/>
      <c r="B410" s="10"/>
      <c r="C410" s="8"/>
      <c r="D410" s="8"/>
      <c r="E410" s="14"/>
      <c r="F410" s="8"/>
      <c r="G410" s="2"/>
      <c r="H410" s="2"/>
    </row>
    <row r="411" customFormat="false" ht="15" hidden="false" customHeight="false" outlineLevel="0" collapsed="false">
      <c r="A411" s="11"/>
      <c r="B411" s="10"/>
      <c r="C411" s="8"/>
      <c r="D411" s="8"/>
      <c r="E411" s="14"/>
      <c r="F411" s="8"/>
      <c r="G411" s="2"/>
      <c r="H411" s="2"/>
    </row>
    <row r="412" customFormat="false" ht="15" hidden="false" customHeight="false" outlineLevel="0" collapsed="false">
      <c r="A412" s="11"/>
      <c r="B412" s="10"/>
      <c r="C412" s="8"/>
      <c r="D412" s="8"/>
      <c r="E412" s="14"/>
      <c r="F412" s="8"/>
      <c r="G412" s="2"/>
      <c r="H412" s="2"/>
    </row>
    <row r="413" customFormat="false" ht="15" hidden="false" customHeight="false" outlineLevel="0" collapsed="false">
      <c r="A413" s="11"/>
      <c r="B413" s="10"/>
      <c r="C413" s="8"/>
      <c r="D413" s="8"/>
      <c r="E413" s="14"/>
      <c r="F413" s="8"/>
      <c r="G413" s="2"/>
      <c r="H413" s="2"/>
    </row>
    <row r="414" customFormat="false" ht="15" hidden="false" customHeight="false" outlineLevel="0" collapsed="false">
      <c r="A414" s="11"/>
      <c r="B414" s="10"/>
      <c r="C414" s="8"/>
      <c r="D414" s="8"/>
      <c r="E414" s="14"/>
      <c r="F414" s="8"/>
      <c r="G414" s="2"/>
      <c r="H414" s="2"/>
    </row>
    <row r="415" customFormat="false" ht="15" hidden="false" customHeight="false" outlineLevel="0" collapsed="false">
      <c r="A415" s="11"/>
      <c r="B415" s="10"/>
      <c r="C415" s="8"/>
      <c r="D415" s="8"/>
      <c r="E415" s="14"/>
      <c r="F415" s="8"/>
      <c r="G415" s="2"/>
      <c r="H415" s="2"/>
    </row>
    <row r="416" customFormat="false" ht="15" hidden="false" customHeight="false" outlineLevel="0" collapsed="false">
      <c r="A416" s="11"/>
      <c r="B416" s="10"/>
      <c r="C416" s="8"/>
      <c r="D416" s="8"/>
      <c r="E416" s="14"/>
      <c r="F416" s="8"/>
      <c r="G416" s="2"/>
      <c r="H416" s="2"/>
    </row>
    <row r="417" customFormat="false" ht="15" hidden="false" customHeight="false" outlineLevel="0" collapsed="false">
      <c r="A417" s="11"/>
      <c r="B417" s="10"/>
      <c r="C417" s="8"/>
      <c r="D417" s="8"/>
      <c r="E417" s="14"/>
      <c r="F417" s="8"/>
      <c r="G417" s="2"/>
      <c r="H417" s="2"/>
    </row>
    <row r="418" customFormat="false" ht="15" hidden="false" customHeight="false" outlineLevel="0" collapsed="false">
      <c r="A418" s="11"/>
      <c r="B418" s="10"/>
      <c r="C418" s="8"/>
      <c r="D418" s="8"/>
      <c r="E418" s="14"/>
      <c r="F418" s="8"/>
      <c r="G418" s="2"/>
      <c r="H418" s="2"/>
    </row>
    <row r="419" customFormat="false" ht="15" hidden="false" customHeight="false" outlineLevel="0" collapsed="false">
      <c r="A419" s="11"/>
      <c r="B419" s="10"/>
      <c r="C419" s="8"/>
      <c r="D419" s="8"/>
      <c r="E419" s="14"/>
      <c r="F419" s="8"/>
      <c r="G419" s="2"/>
      <c r="H419" s="2"/>
    </row>
    <row r="420" customFormat="false" ht="15" hidden="false" customHeight="false" outlineLevel="0" collapsed="false">
      <c r="A420" s="11"/>
      <c r="B420" s="10"/>
      <c r="C420" s="8"/>
      <c r="D420" s="8"/>
      <c r="E420" s="14"/>
      <c r="F420" s="8"/>
      <c r="G420" s="2"/>
      <c r="H420" s="2"/>
    </row>
    <row r="421" customFormat="false" ht="15" hidden="false" customHeight="false" outlineLevel="0" collapsed="false">
      <c r="A421" s="11"/>
      <c r="B421" s="10"/>
      <c r="C421" s="8"/>
      <c r="D421" s="8"/>
      <c r="E421" s="14"/>
      <c r="F421" s="8"/>
      <c r="G421" s="2"/>
      <c r="H421" s="2"/>
    </row>
    <row r="422" customFormat="false" ht="15" hidden="false" customHeight="false" outlineLevel="0" collapsed="false">
      <c r="A422" s="11"/>
      <c r="B422" s="10"/>
      <c r="C422" s="8"/>
      <c r="D422" s="8"/>
      <c r="E422" s="14"/>
      <c r="F422" s="8"/>
      <c r="G422" s="2"/>
      <c r="H422" s="2"/>
    </row>
    <row r="423" customFormat="false" ht="15" hidden="false" customHeight="false" outlineLevel="0" collapsed="false">
      <c r="A423" s="11"/>
      <c r="B423" s="10"/>
      <c r="C423" s="8"/>
      <c r="D423" s="8"/>
      <c r="E423" s="14"/>
      <c r="F423" s="8"/>
      <c r="G423" s="2"/>
      <c r="H423" s="2"/>
    </row>
    <row r="424" customFormat="false" ht="15" hidden="false" customHeight="false" outlineLevel="0" collapsed="false">
      <c r="A424" s="11"/>
      <c r="B424" s="10"/>
      <c r="C424" s="8"/>
      <c r="D424" s="8"/>
      <c r="E424" s="14"/>
      <c r="F424" s="8"/>
      <c r="G424" s="2"/>
      <c r="H424" s="2"/>
    </row>
    <row r="425" customFormat="false" ht="15" hidden="false" customHeight="false" outlineLevel="0" collapsed="false">
      <c r="A425" s="11"/>
      <c r="B425" s="10"/>
      <c r="C425" s="8"/>
      <c r="D425" s="8"/>
      <c r="E425" s="14"/>
      <c r="F425" s="8"/>
      <c r="G425" s="2"/>
      <c r="H425" s="2"/>
    </row>
    <row r="426" customFormat="false" ht="15" hidden="false" customHeight="false" outlineLevel="0" collapsed="false">
      <c r="A426" s="11"/>
      <c r="B426" s="10"/>
      <c r="C426" s="8"/>
      <c r="D426" s="8"/>
      <c r="E426" s="14"/>
      <c r="F426" s="8"/>
      <c r="G426" s="2"/>
      <c r="H426" s="2"/>
    </row>
    <row r="427" customFormat="false" ht="15" hidden="false" customHeight="false" outlineLevel="0" collapsed="false">
      <c r="A427" s="11"/>
      <c r="B427" s="10"/>
      <c r="C427" s="8"/>
      <c r="D427" s="8"/>
      <c r="E427" s="14"/>
      <c r="F427" s="8"/>
      <c r="G427" s="2"/>
      <c r="H427" s="2"/>
    </row>
    <row r="428" customFormat="false" ht="15" hidden="false" customHeight="false" outlineLevel="0" collapsed="false">
      <c r="A428" s="11"/>
      <c r="B428" s="10"/>
      <c r="C428" s="8"/>
      <c r="D428" s="8"/>
      <c r="E428" s="14"/>
      <c r="F428" s="8"/>
      <c r="G428" s="2"/>
      <c r="H428" s="2"/>
    </row>
    <row r="429" customFormat="false" ht="15" hidden="false" customHeight="false" outlineLevel="0" collapsed="false">
      <c r="A429" s="11"/>
      <c r="B429" s="10"/>
      <c r="C429" s="8"/>
      <c r="D429" s="8"/>
      <c r="E429" s="14"/>
      <c r="F429" s="8"/>
      <c r="G429" s="2"/>
      <c r="H429" s="2"/>
    </row>
    <row r="430" customFormat="false" ht="15" hidden="false" customHeight="false" outlineLevel="0" collapsed="false">
      <c r="A430" s="11"/>
      <c r="B430" s="10"/>
      <c r="C430" s="8"/>
      <c r="D430" s="8"/>
      <c r="E430" s="14"/>
      <c r="F430" s="8"/>
      <c r="G430" s="2"/>
      <c r="H430" s="2"/>
    </row>
    <row r="431" customFormat="false" ht="15" hidden="false" customHeight="false" outlineLevel="0" collapsed="false">
      <c r="A431" s="11"/>
      <c r="B431" s="10"/>
      <c r="C431" s="8"/>
      <c r="D431" s="8"/>
      <c r="E431" s="14"/>
      <c r="F431" s="8"/>
      <c r="G431" s="2"/>
      <c r="H431" s="2"/>
    </row>
    <row r="432" customFormat="false" ht="15" hidden="false" customHeight="false" outlineLevel="0" collapsed="false">
      <c r="A432" s="11"/>
      <c r="B432" s="10"/>
      <c r="C432" s="8"/>
      <c r="D432" s="8"/>
      <c r="E432" s="14"/>
      <c r="F432" s="8"/>
      <c r="G432" s="2"/>
      <c r="H432" s="2"/>
    </row>
    <row r="433" customFormat="false" ht="15" hidden="false" customHeight="false" outlineLevel="0" collapsed="false">
      <c r="A433" s="11"/>
      <c r="B433" s="10"/>
      <c r="C433" s="8"/>
      <c r="D433" s="8"/>
      <c r="E433" s="14"/>
      <c r="F433" s="8"/>
      <c r="G433" s="2"/>
      <c r="H433" s="2"/>
    </row>
    <row r="434" customFormat="false" ht="15" hidden="false" customHeight="false" outlineLevel="0" collapsed="false">
      <c r="A434" s="11"/>
      <c r="B434" s="10"/>
      <c r="C434" s="8"/>
      <c r="D434" s="8"/>
      <c r="E434" s="14"/>
      <c r="F434" s="8"/>
      <c r="G434" s="2"/>
      <c r="H434" s="2"/>
    </row>
    <row r="435" customFormat="false" ht="15" hidden="false" customHeight="false" outlineLevel="0" collapsed="false">
      <c r="A435" s="11"/>
      <c r="B435" s="10"/>
      <c r="C435" s="8"/>
      <c r="D435" s="8"/>
      <c r="E435" s="14"/>
      <c r="F435" s="8"/>
      <c r="G435" s="2"/>
      <c r="H435" s="2"/>
    </row>
    <row r="436" customFormat="false" ht="15" hidden="false" customHeight="false" outlineLevel="0" collapsed="false">
      <c r="A436" s="11"/>
      <c r="B436" s="10"/>
      <c r="C436" s="8"/>
      <c r="D436" s="8"/>
      <c r="E436" s="14"/>
      <c r="F436" s="8"/>
      <c r="G436" s="2"/>
      <c r="H436" s="2"/>
    </row>
    <row r="437" customFormat="false" ht="15" hidden="false" customHeight="false" outlineLevel="0" collapsed="false">
      <c r="A437" s="11"/>
      <c r="B437" s="10"/>
      <c r="C437" s="8"/>
      <c r="D437" s="8"/>
      <c r="E437" s="14"/>
      <c r="F437" s="8"/>
      <c r="G437" s="2"/>
      <c r="H437" s="2"/>
    </row>
    <row r="438" customFormat="false" ht="15" hidden="false" customHeight="false" outlineLevel="0" collapsed="false">
      <c r="A438" s="11"/>
      <c r="B438" s="10"/>
      <c r="C438" s="8"/>
      <c r="D438" s="8"/>
      <c r="E438" s="14"/>
      <c r="F438" s="8"/>
      <c r="G438" s="2"/>
      <c r="H438" s="2"/>
    </row>
    <row r="439" customFormat="false" ht="15" hidden="false" customHeight="false" outlineLevel="0" collapsed="false">
      <c r="A439" s="11"/>
      <c r="B439" s="10"/>
      <c r="C439" s="8"/>
      <c r="D439" s="8"/>
      <c r="E439" s="14"/>
      <c r="F439" s="8"/>
      <c r="G439" s="2"/>
      <c r="H439" s="2"/>
    </row>
    <row r="440" customFormat="false" ht="15" hidden="false" customHeight="false" outlineLevel="0" collapsed="false">
      <c r="A440" s="11"/>
      <c r="B440" s="10"/>
      <c r="C440" s="8"/>
      <c r="D440" s="8"/>
      <c r="E440" s="14"/>
      <c r="F440" s="8"/>
      <c r="G440" s="2"/>
      <c r="H440" s="2"/>
    </row>
    <row r="441" customFormat="false" ht="15" hidden="false" customHeight="false" outlineLevel="0" collapsed="false">
      <c r="A441" s="11"/>
      <c r="B441" s="10"/>
      <c r="C441" s="8"/>
      <c r="D441" s="8"/>
      <c r="E441" s="14"/>
      <c r="F441" s="8"/>
      <c r="G441" s="2"/>
      <c r="H441" s="2"/>
    </row>
    <row r="442" customFormat="false" ht="15" hidden="false" customHeight="false" outlineLevel="0" collapsed="false">
      <c r="A442" s="11"/>
      <c r="B442" s="10"/>
      <c r="C442" s="8"/>
      <c r="D442" s="8"/>
      <c r="E442" s="14"/>
      <c r="F442" s="8"/>
      <c r="G442" s="2"/>
      <c r="H442" s="2"/>
    </row>
    <row r="443" customFormat="false" ht="15" hidden="false" customHeight="false" outlineLevel="0" collapsed="false">
      <c r="A443" s="11"/>
      <c r="B443" s="10"/>
      <c r="C443" s="8"/>
      <c r="D443" s="8"/>
      <c r="E443" s="14"/>
      <c r="F443" s="8"/>
      <c r="G443" s="2"/>
      <c r="H443" s="2"/>
    </row>
    <row r="444" customFormat="false" ht="15" hidden="false" customHeight="false" outlineLevel="0" collapsed="false">
      <c r="A444" s="11"/>
      <c r="B444" s="10"/>
      <c r="C444" s="8"/>
      <c r="D444" s="8"/>
      <c r="E444" s="14"/>
      <c r="F444" s="8"/>
      <c r="G444" s="2"/>
      <c r="H444" s="2"/>
    </row>
    <row r="445" customFormat="false" ht="15" hidden="false" customHeight="false" outlineLevel="0" collapsed="false">
      <c r="A445" s="11"/>
      <c r="B445" s="10"/>
      <c r="C445" s="8"/>
      <c r="D445" s="8"/>
      <c r="E445" s="14"/>
      <c r="F445" s="8"/>
      <c r="G445" s="2"/>
      <c r="H445" s="2"/>
    </row>
    <row r="446" customFormat="false" ht="15" hidden="false" customHeight="false" outlineLevel="0" collapsed="false">
      <c r="A446" s="11"/>
      <c r="B446" s="10"/>
      <c r="C446" s="8"/>
      <c r="D446" s="8"/>
      <c r="E446" s="14"/>
      <c r="F446" s="8"/>
      <c r="G446" s="2"/>
      <c r="H446" s="2"/>
    </row>
    <row r="447" customFormat="false" ht="15" hidden="false" customHeight="false" outlineLevel="0" collapsed="false">
      <c r="A447" s="11"/>
      <c r="B447" s="10"/>
      <c r="C447" s="8"/>
      <c r="D447" s="8"/>
      <c r="E447" s="14"/>
      <c r="F447" s="8"/>
      <c r="G447" s="2"/>
      <c r="H447" s="2"/>
    </row>
    <row r="448" customFormat="false" ht="15" hidden="false" customHeight="false" outlineLevel="0" collapsed="false">
      <c r="A448" s="11"/>
      <c r="B448" s="10"/>
      <c r="C448" s="8"/>
      <c r="D448" s="8"/>
      <c r="E448" s="14"/>
      <c r="F448" s="8"/>
      <c r="G448" s="2"/>
      <c r="H448" s="2"/>
    </row>
    <row r="449" customFormat="false" ht="15" hidden="false" customHeight="false" outlineLevel="0" collapsed="false">
      <c r="A449" s="11"/>
      <c r="B449" s="10"/>
      <c r="C449" s="8"/>
      <c r="D449" s="8"/>
      <c r="E449" s="14"/>
      <c r="F449" s="8"/>
      <c r="G449" s="2"/>
      <c r="H449" s="2"/>
    </row>
    <row r="450" customFormat="false" ht="15" hidden="false" customHeight="false" outlineLevel="0" collapsed="false">
      <c r="A450" s="11"/>
      <c r="B450" s="10"/>
      <c r="C450" s="8"/>
      <c r="D450" s="8"/>
      <c r="E450" s="14"/>
      <c r="F450" s="8"/>
      <c r="G450" s="2"/>
      <c r="H450" s="2"/>
    </row>
    <row r="451" customFormat="false" ht="15" hidden="false" customHeight="false" outlineLevel="0" collapsed="false">
      <c r="A451" s="11"/>
      <c r="B451" s="10"/>
      <c r="C451" s="8"/>
      <c r="D451" s="8"/>
      <c r="E451" s="14"/>
      <c r="F451" s="8"/>
      <c r="G451" s="2"/>
      <c r="H451" s="2"/>
    </row>
    <row r="452" customFormat="false" ht="15" hidden="false" customHeight="false" outlineLevel="0" collapsed="false">
      <c r="A452" s="11"/>
      <c r="B452" s="10"/>
      <c r="C452" s="8"/>
      <c r="D452" s="8"/>
      <c r="E452" s="14"/>
      <c r="F452" s="8"/>
      <c r="G452" s="2"/>
      <c r="H452" s="2"/>
    </row>
    <row r="453" customFormat="false" ht="15" hidden="false" customHeight="false" outlineLevel="0" collapsed="false">
      <c r="A453" s="11"/>
      <c r="B453" s="10"/>
      <c r="C453" s="8"/>
      <c r="D453" s="8"/>
      <c r="E453" s="14"/>
      <c r="F453" s="8"/>
      <c r="G453" s="2"/>
      <c r="H453" s="2"/>
    </row>
    <row r="454" customFormat="false" ht="15" hidden="false" customHeight="false" outlineLevel="0" collapsed="false">
      <c r="A454" s="11"/>
      <c r="B454" s="10"/>
      <c r="C454" s="8"/>
      <c r="D454" s="8"/>
      <c r="E454" s="14"/>
      <c r="F454" s="8"/>
      <c r="G454" s="2"/>
      <c r="H454" s="2"/>
    </row>
    <row r="455" customFormat="false" ht="15" hidden="false" customHeight="false" outlineLevel="0" collapsed="false">
      <c r="A455" s="11"/>
      <c r="B455" s="10"/>
      <c r="C455" s="8"/>
      <c r="D455" s="8"/>
      <c r="E455" s="14"/>
      <c r="F455" s="8"/>
      <c r="G455" s="2"/>
      <c r="H455" s="2"/>
    </row>
    <row r="456" customFormat="false" ht="15" hidden="false" customHeight="false" outlineLevel="0" collapsed="false">
      <c r="A456" s="11"/>
      <c r="B456" s="10"/>
      <c r="C456" s="8"/>
      <c r="D456" s="8"/>
      <c r="E456" s="14"/>
      <c r="F456" s="8"/>
      <c r="G456" s="2"/>
      <c r="H456" s="2"/>
    </row>
    <row r="457" customFormat="false" ht="15" hidden="false" customHeight="false" outlineLevel="0" collapsed="false">
      <c r="A457" s="11"/>
      <c r="B457" s="10"/>
      <c r="C457" s="8"/>
      <c r="D457" s="8"/>
      <c r="E457" s="14"/>
      <c r="F457" s="8"/>
      <c r="G457" s="2"/>
      <c r="H457" s="2"/>
    </row>
    <row r="458" customFormat="false" ht="15" hidden="false" customHeight="false" outlineLevel="0" collapsed="false">
      <c r="A458" s="11"/>
      <c r="B458" s="10"/>
      <c r="C458" s="8"/>
      <c r="D458" s="8"/>
      <c r="E458" s="14"/>
      <c r="F458" s="8"/>
      <c r="G458" s="2"/>
      <c r="H458" s="2"/>
    </row>
    <row r="459" customFormat="false" ht="15" hidden="false" customHeight="false" outlineLevel="0" collapsed="false">
      <c r="A459" s="11"/>
      <c r="B459" s="10"/>
      <c r="C459" s="8"/>
      <c r="D459" s="8"/>
      <c r="E459" s="14"/>
      <c r="F459" s="8"/>
      <c r="G459" s="2"/>
      <c r="H459" s="2"/>
    </row>
    <row r="460" customFormat="false" ht="15" hidden="false" customHeight="false" outlineLevel="0" collapsed="false">
      <c r="A460" s="11"/>
      <c r="B460" s="10"/>
      <c r="C460" s="8"/>
      <c r="D460" s="8"/>
      <c r="E460" s="14"/>
      <c r="F460" s="8"/>
      <c r="G460" s="2"/>
      <c r="H460" s="2"/>
    </row>
    <row r="461" customFormat="false" ht="15" hidden="false" customHeight="false" outlineLevel="0" collapsed="false">
      <c r="A461" s="11"/>
      <c r="B461" s="10"/>
      <c r="C461" s="8"/>
      <c r="D461" s="8"/>
      <c r="E461" s="14"/>
      <c r="F461" s="8"/>
      <c r="G461" s="2"/>
      <c r="H461" s="2"/>
    </row>
    <row r="462" customFormat="false" ht="15" hidden="false" customHeight="false" outlineLevel="0" collapsed="false">
      <c r="A462" s="11"/>
      <c r="B462" s="10"/>
      <c r="C462" s="8"/>
      <c r="D462" s="8"/>
      <c r="E462" s="14"/>
      <c r="F462" s="8"/>
      <c r="G462" s="2"/>
      <c r="H462" s="2"/>
    </row>
    <row r="463" customFormat="false" ht="15" hidden="false" customHeight="false" outlineLevel="0" collapsed="false">
      <c r="A463" s="11"/>
      <c r="B463" s="10"/>
      <c r="C463" s="8"/>
      <c r="D463" s="8"/>
      <c r="E463" s="14"/>
      <c r="F463" s="8"/>
      <c r="G463" s="2"/>
      <c r="H463" s="2"/>
    </row>
    <row r="464" customFormat="false" ht="15" hidden="false" customHeight="false" outlineLevel="0" collapsed="false">
      <c r="A464" s="11"/>
      <c r="B464" s="10"/>
      <c r="C464" s="8"/>
      <c r="D464" s="8"/>
      <c r="E464" s="14"/>
      <c r="F464" s="8"/>
      <c r="G464" s="2"/>
      <c r="H464" s="2"/>
    </row>
    <row r="465" customFormat="false" ht="15" hidden="false" customHeight="false" outlineLevel="0" collapsed="false">
      <c r="A465" s="11"/>
      <c r="B465" s="10"/>
      <c r="C465" s="8"/>
      <c r="D465" s="8"/>
      <c r="E465" s="14"/>
      <c r="F465" s="8"/>
      <c r="G465" s="2"/>
      <c r="H465" s="2"/>
    </row>
    <row r="466" customFormat="false" ht="15" hidden="false" customHeight="false" outlineLevel="0" collapsed="false">
      <c r="A466" s="11"/>
      <c r="B466" s="10"/>
      <c r="C466" s="8"/>
      <c r="D466" s="8"/>
      <c r="E466" s="14"/>
      <c r="F466" s="8"/>
      <c r="G466" s="2"/>
      <c r="H466" s="2"/>
    </row>
    <row r="467" customFormat="false" ht="15" hidden="false" customHeight="false" outlineLevel="0" collapsed="false">
      <c r="A467" s="11"/>
      <c r="B467" s="10"/>
      <c r="C467" s="8"/>
      <c r="D467" s="8"/>
      <c r="E467" s="14"/>
      <c r="F467" s="8"/>
      <c r="G467" s="2"/>
      <c r="H467" s="2"/>
    </row>
    <row r="468" customFormat="false" ht="15" hidden="false" customHeight="false" outlineLevel="0" collapsed="false">
      <c r="A468" s="11"/>
      <c r="B468" s="10"/>
      <c r="C468" s="8"/>
      <c r="D468" s="8"/>
      <c r="E468" s="14"/>
      <c r="F468" s="8"/>
      <c r="G468" s="2"/>
      <c r="H468" s="2"/>
    </row>
    <row r="469" customFormat="false" ht="15" hidden="false" customHeight="false" outlineLevel="0" collapsed="false">
      <c r="A469" s="11"/>
      <c r="B469" s="10"/>
      <c r="C469" s="8"/>
      <c r="D469" s="8"/>
      <c r="E469" s="14"/>
      <c r="F469" s="8"/>
      <c r="G469" s="2"/>
      <c r="H469" s="2"/>
    </row>
    <row r="470" customFormat="false" ht="15" hidden="false" customHeight="false" outlineLevel="0" collapsed="false">
      <c r="A470" s="11"/>
      <c r="B470" s="10"/>
      <c r="C470" s="8"/>
      <c r="D470" s="8"/>
      <c r="E470" s="14"/>
      <c r="F470" s="8"/>
      <c r="G470" s="2"/>
      <c r="H470" s="2"/>
    </row>
    <row r="471" customFormat="false" ht="15" hidden="false" customHeight="false" outlineLevel="0" collapsed="false">
      <c r="A471" s="11"/>
      <c r="B471" s="10"/>
      <c r="C471" s="8"/>
      <c r="D471" s="8"/>
      <c r="E471" s="14"/>
      <c r="F471" s="8"/>
      <c r="G471" s="2"/>
      <c r="H471" s="2"/>
    </row>
    <row r="472" customFormat="false" ht="15" hidden="false" customHeight="false" outlineLevel="0" collapsed="false">
      <c r="A472" s="11"/>
      <c r="B472" s="10"/>
      <c r="C472" s="8"/>
      <c r="D472" s="8"/>
      <c r="E472" s="14"/>
      <c r="F472" s="8"/>
      <c r="G472" s="2"/>
      <c r="H472" s="2"/>
    </row>
    <row r="473" customFormat="false" ht="15" hidden="false" customHeight="false" outlineLevel="0" collapsed="false">
      <c r="A473" s="11"/>
      <c r="B473" s="10"/>
      <c r="C473" s="8"/>
      <c r="D473" s="8"/>
      <c r="E473" s="14"/>
      <c r="F473" s="8"/>
      <c r="G473" s="2"/>
      <c r="H473" s="2"/>
    </row>
    <row r="474" customFormat="false" ht="15" hidden="false" customHeight="false" outlineLevel="0" collapsed="false">
      <c r="A474" s="11"/>
      <c r="B474" s="10"/>
      <c r="C474" s="8"/>
      <c r="D474" s="8"/>
      <c r="E474" s="14"/>
      <c r="F474" s="8"/>
      <c r="G474" s="2"/>
      <c r="H474" s="2"/>
    </row>
    <row r="475" customFormat="false" ht="15" hidden="false" customHeight="false" outlineLevel="0" collapsed="false">
      <c r="A475" s="11"/>
      <c r="B475" s="10"/>
      <c r="C475" s="8"/>
      <c r="D475" s="8"/>
      <c r="E475" s="14"/>
      <c r="F475" s="8"/>
      <c r="G475" s="2"/>
      <c r="H475" s="2"/>
    </row>
    <row r="476" customFormat="false" ht="15" hidden="false" customHeight="false" outlineLevel="0" collapsed="false">
      <c r="A476" s="11"/>
      <c r="B476" s="10"/>
      <c r="C476" s="8"/>
      <c r="D476" s="8"/>
      <c r="E476" s="14"/>
      <c r="F476" s="8"/>
      <c r="G476" s="2"/>
      <c r="H476" s="2"/>
    </row>
    <row r="477" customFormat="false" ht="15" hidden="false" customHeight="false" outlineLevel="0" collapsed="false">
      <c r="A477" s="11"/>
      <c r="B477" s="10"/>
      <c r="C477" s="8"/>
      <c r="D477" s="8"/>
      <c r="E477" s="14"/>
      <c r="F477" s="8"/>
      <c r="G477" s="2"/>
      <c r="H477" s="2"/>
    </row>
    <row r="478" customFormat="false" ht="15" hidden="false" customHeight="false" outlineLevel="0" collapsed="false">
      <c r="A478" s="11"/>
      <c r="B478" s="10"/>
      <c r="C478" s="8"/>
      <c r="D478" s="8"/>
      <c r="E478" s="14"/>
      <c r="F478" s="8"/>
      <c r="G478" s="2"/>
      <c r="H478" s="2"/>
    </row>
    <row r="479" customFormat="false" ht="15" hidden="false" customHeight="false" outlineLevel="0" collapsed="false">
      <c r="A479" s="11"/>
      <c r="B479" s="10"/>
      <c r="C479" s="8"/>
      <c r="D479" s="8"/>
      <c r="E479" s="14"/>
      <c r="F479" s="8"/>
      <c r="G479" s="2"/>
      <c r="H479" s="2"/>
    </row>
    <row r="480" customFormat="false" ht="15" hidden="false" customHeight="false" outlineLevel="0" collapsed="false">
      <c r="A480" s="11"/>
      <c r="B480" s="10"/>
      <c r="C480" s="8"/>
      <c r="D480" s="8"/>
      <c r="E480" s="14"/>
      <c r="F480" s="8"/>
      <c r="G480" s="2"/>
      <c r="H480" s="2"/>
    </row>
    <row r="481" customFormat="false" ht="15" hidden="false" customHeight="false" outlineLevel="0" collapsed="false">
      <c r="A481" s="11"/>
      <c r="B481" s="10"/>
      <c r="C481" s="8"/>
      <c r="D481" s="8"/>
      <c r="E481" s="14"/>
      <c r="F481" s="8"/>
      <c r="G481" s="2"/>
      <c r="H481" s="2"/>
    </row>
    <row r="482" customFormat="false" ht="15" hidden="false" customHeight="false" outlineLevel="0" collapsed="false">
      <c r="A482" s="11"/>
      <c r="B482" s="10"/>
      <c r="C482" s="8"/>
      <c r="D482" s="8"/>
      <c r="E482" s="14"/>
      <c r="F482" s="8"/>
      <c r="G482" s="2"/>
      <c r="H482" s="2"/>
    </row>
    <row r="483" customFormat="false" ht="15" hidden="false" customHeight="false" outlineLevel="0" collapsed="false">
      <c r="A483" s="11"/>
      <c r="B483" s="10"/>
      <c r="C483" s="8"/>
      <c r="D483" s="8"/>
      <c r="E483" s="14"/>
      <c r="F483" s="8"/>
      <c r="G483" s="2"/>
      <c r="H483" s="2"/>
    </row>
    <row r="484" customFormat="false" ht="15" hidden="false" customHeight="false" outlineLevel="0" collapsed="false">
      <c r="A484" s="11"/>
      <c r="B484" s="10"/>
      <c r="C484" s="8"/>
      <c r="D484" s="8"/>
      <c r="E484" s="14"/>
      <c r="F484" s="8"/>
      <c r="G484" s="2"/>
      <c r="H484" s="2"/>
    </row>
    <row r="485" customFormat="false" ht="15" hidden="false" customHeight="false" outlineLevel="0" collapsed="false">
      <c r="A485" s="11"/>
      <c r="B485" s="10"/>
      <c r="C485" s="8"/>
      <c r="D485" s="8"/>
      <c r="E485" s="14"/>
      <c r="F485" s="8"/>
      <c r="G485" s="2"/>
      <c r="H485" s="2"/>
    </row>
    <row r="486" customFormat="false" ht="15" hidden="false" customHeight="false" outlineLevel="0" collapsed="false">
      <c r="A486" s="11"/>
      <c r="B486" s="10"/>
      <c r="C486" s="8"/>
      <c r="D486" s="8"/>
      <c r="E486" s="14"/>
      <c r="F486" s="8"/>
      <c r="G486" s="2"/>
      <c r="H486" s="2"/>
    </row>
    <row r="487" customFormat="false" ht="15" hidden="false" customHeight="false" outlineLevel="0" collapsed="false">
      <c r="A487" s="11"/>
      <c r="B487" s="10"/>
      <c r="C487" s="8"/>
      <c r="D487" s="8"/>
      <c r="E487" s="14"/>
      <c r="F487" s="8"/>
      <c r="G487" s="2"/>
      <c r="H487" s="2"/>
    </row>
    <row r="488" customFormat="false" ht="15" hidden="false" customHeight="false" outlineLevel="0" collapsed="false">
      <c r="A488" s="11"/>
      <c r="B488" s="10"/>
      <c r="C488" s="8"/>
      <c r="D488" s="8"/>
      <c r="E488" s="14"/>
      <c r="F488" s="8"/>
      <c r="G488" s="2"/>
      <c r="H488" s="2"/>
    </row>
    <row r="489" customFormat="false" ht="15" hidden="false" customHeight="false" outlineLevel="0" collapsed="false">
      <c r="A489" s="11"/>
      <c r="B489" s="10"/>
      <c r="C489" s="8"/>
      <c r="D489" s="8"/>
      <c r="E489" s="14"/>
      <c r="F489" s="8"/>
      <c r="G489" s="2"/>
      <c r="H489" s="2"/>
    </row>
    <row r="490" customFormat="false" ht="15" hidden="false" customHeight="false" outlineLevel="0" collapsed="false">
      <c r="A490" s="11"/>
      <c r="B490" s="10"/>
      <c r="C490" s="8"/>
      <c r="D490" s="8"/>
      <c r="E490" s="14"/>
      <c r="F490" s="8"/>
      <c r="G490" s="2"/>
      <c r="H490" s="2"/>
    </row>
    <row r="491" customFormat="false" ht="15" hidden="false" customHeight="false" outlineLevel="0" collapsed="false">
      <c r="A491" s="11"/>
      <c r="B491" s="10"/>
      <c r="C491" s="8"/>
      <c r="D491" s="8"/>
      <c r="E491" s="14"/>
      <c r="F491" s="8"/>
      <c r="G491" s="2"/>
      <c r="H491" s="2"/>
    </row>
    <row r="492" customFormat="false" ht="15" hidden="false" customHeight="false" outlineLevel="0" collapsed="false">
      <c r="A492" s="11"/>
      <c r="B492" s="10"/>
      <c r="C492" s="8"/>
      <c r="D492" s="8"/>
      <c r="E492" s="14"/>
      <c r="F492" s="8"/>
      <c r="G492" s="2"/>
      <c r="H492" s="2"/>
    </row>
    <row r="493" customFormat="false" ht="15" hidden="false" customHeight="false" outlineLevel="0" collapsed="false">
      <c r="A493" s="11"/>
      <c r="B493" s="10"/>
      <c r="C493" s="8"/>
      <c r="D493" s="8"/>
      <c r="E493" s="14"/>
      <c r="F493" s="8"/>
      <c r="G493" s="2"/>
      <c r="H493" s="2"/>
    </row>
    <row r="494" customFormat="false" ht="15" hidden="false" customHeight="false" outlineLevel="0" collapsed="false">
      <c r="A494" s="11"/>
      <c r="B494" s="10"/>
      <c r="C494" s="8"/>
      <c r="D494" s="8"/>
      <c r="E494" s="14"/>
      <c r="F494" s="8"/>
      <c r="G494" s="2"/>
      <c r="H494" s="2"/>
    </row>
    <row r="495" customFormat="false" ht="15" hidden="false" customHeight="false" outlineLevel="0" collapsed="false">
      <c r="A495" s="11"/>
      <c r="B495" s="10"/>
      <c r="C495" s="8"/>
      <c r="D495" s="8"/>
      <c r="E495" s="14"/>
      <c r="F495" s="8"/>
      <c r="G495" s="2"/>
      <c r="H495" s="2"/>
    </row>
    <row r="496" customFormat="false" ht="15" hidden="false" customHeight="false" outlineLevel="0" collapsed="false">
      <c r="A496" s="11"/>
      <c r="B496" s="10"/>
      <c r="C496" s="8"/>
      <c r="D496" s="8"/>
      <c r="E496" s="14"/>
      <c r="F496" s="8"/>
      <c r="G496" s="2"/>
      <c r="H496" s="2"/>
    </row>
    <row r="497" customFormat="false" ht="15" hidden="false" customHeight="false" outlineLevel="0" collapsed="false">
      <c r="A497" s="11"/>
      <c r="B497" s="10"/>
      <c r="C497" s="8"/>
      <c r="D497" s="8"/>
      <c r="E497" s="14"/>
      <c r="F497" s="8"/>
      <c r="G497" s="2"/>
      <c r="H497" s="2"/>
    </row>
    <row r="498" customFormat="false" ht="15" hidden="false" customHeight="false" outlineLevel="0" collapsed="false">
      <c r="A498" s="11"/>
      <c r="B498" s="10"/>
      <c r="C498" s="8"/>
      <c r="D498" s="8"/>
      <c r="E498" s="14"/>
      <c r="F498" s="8"/>
      <c r="G498" s="2"/>
      <c r="H498" s="2"/>
    </row>
    <row r="499" customFormat="false" ht="15" hidden="false" customHeight="false" outlineLevel="0" collapsed="false">
      <c r="A499" s="11"/>
      <c r="B499" s="10"/>
      <c r="C499" s="8"/>
      <c r="D499" s="8"/>
      <c r="E499" s="14"/>
      <c r="F499" s="8"/>
      <c r="G499" s="2"/>
      <c r="H499" s="2"/>
    </row>
    <row r="500" customFormat="false" ht="15" hidden="false" customHeight="false" outlineLevel="0" collapsed="false">
      <c r="A500" s="11"/>
      <c r="B500" s="10"/>
      <c r="C500" s="8"/>
      <c r="D500" s="8"/>
      <c r="E500" s="14"/>
      <c r="F500" s="8"/>
      <c r="G500" s="2"/>
      <c r="H500" s="2"/>
    </row>
    <row r="501" customFormat="false" ht="15" hidden="false" customHeight="false" outlineLevel="0" collapsed="false">
      <c r="A501" s="11"/>
      <c r="B501" s="10"/>
      <c r="C501" s="8"/>
      <c r="D501" s="8"/>
      <c r="E501" s="14"/>
      <c r="F501" s="8"/>
      <c r="G501" s="2"/>
      <c r="H501" s="2"/>
    </row>
    <row r="502" customFormat="false" ht="15" hidden="false" customHeight="false" outlineLevel="0" collapsed="false">
      <c r="A502" s="11"/>
      <c r="B502" s="10"/>
      <c r="C502" s="8"/>
      <c r="D502" s="8"/>
      <c r="E502" s="14"/>
      <c r="F502" s="8"/>
      <c r="G502" s="2"/>
      <c r="H502" s="2"/>
    </row>
    <row r="503" customFormat="false" ht="15" hidden="false" customHeight="false" outlineLevel="0" collapsed="false">
      <c r="A503" s="11"/>
      <c r="B503" s="10"/>
      <c r="C503" s="8"/>
      <c r="D503" s="8"/>
      <c r="E503" s="14"/>
      <c r="F503" s="8"/>
      <c r="G503" s="2"/>
      <c r="H503" s="2"/>
    </row>
    <row r="504" customFormat="false" ht="15" hidden="false" customHeight="false" outlineLevel="0" collapsed="false">
      <c r="A504" s="11"/>
      <c r="B504" s="10"/>
      <c r="C504" s="8"/>
      <c r="D504" s="8"/>
      <c r="E504" s="14"/>
      <c r="F504" s="8"/>
      <c r="G504" s="2"/>
      <c r="H504" s="2"/>
    </row>
    <row r="505" customFormat="false" ht="15" hidden="false" customHeight="false" outlineLevel="0" collapsed="false">
      <c r="A505" s="11"/>
      <c r="B505" s="10"/>
      <c r="C505" s="8"/>
      <c r="D505" s="8"/>
      <c r="E505" s="14"/>
      <c r="F505" s="8"/>
      <c r="G505" s="2"/>
      <c r="H505" s="2"/>
    </row>
    <row r="506" customFormat="false" ht="15" hidden="false" customHeight="false" outlineLevel="0" collapsed="false">
      <c r="A506" s="11"/>
      <c r="B506" s="10"/>
      <c r="C506" s="8"/>
      <c r="D506" s="8"/>
      <c r="E506" s="14"/>
      <c r="F506" s="8"/>
      <c r="G506" s="2"/>
      <c r="H506" s="2"/>
    </row>
    <row r="507" customFormat="false" ht="15" hidden="false" customHeight="false" outlineLevel="0" collapsed="false">
      <c r="A507" s="11"/>
      <c r="B507" s="10"/>
      <c r="C507" s="8"/>
      <c r="D507" s="8"/>
      <c r="E507" s="14"/>
      <c r="F507" s="8"/>
      <c r="G507" s="2"/>
      <c r="H507" s="2"/>
    </row>
    <row r="508" customFormat="false" ht="15" hidden="false" customHeight="false" outlineLevel="0" collapsed="false">
      <c r="A508" s="11"/>
      <c r="B508" s="10"/>
      <c r="C508" s="8"/>
      <c r="D508" s="8"/>
      <c r="E508" s="14"/>
      <c r="F508" s="8"/>
      <c r="G508" s="2"/>
      <c r="H508" s="2"/>
    </row>
    <row r="509" customFormat="false" ht="15" hidden="false" customHeight="false" outlineLevel="0" collapsed="false">
      <c r="A509" s="11"/>
      <c r="B509" s="10"/>
      <c r="C509" s="8"/>
      <c r="D509" s="8"/>
      <c r="E509" s="14"/>
      <c r="F509" s="8"/>
      <c r="G509" s="2"/>
      <c r="H509" s="2"/>
    </row>
    <row r="510" customFormat="false" ht="15" hidden="false" customHeight="false" outlineLevel="0" collapsed="false">
      <c r="A510" s="11"/>
      <c r="B510" s="10"/>
      <c r="C510" s="8"/>
      <c r="D510" s="8"/>
      <c r="E510" s="14"/>
      <c r="F510" s="8"/>
      <c r="G510" s="2"/>
      <c r="H510" s="2"/>
    </row>
    <row r="511" customFormat="false" ht="15" hidden="false" customHeight="false" outlineLevel="0" collapsed="false">
      <c r="A511" s="11"/>
      <c r="B511" s="10"/>
      <c r="C511" s="8"/>
      <c r="D511" s="8"/>
      <c r="E511" s="14"/>
      <c r="F511" s="8"/>
      <c r="G511" s="2"/>
      <c r="H511" s="2"/>
    </row>
    <row r="512" customFormat="false" ht="15" hidden="false" customHeight="false" outlineLevel="0" collapsed="false">
      <c r="A512" s="11"/>
      <c r="B512" s="10"/>
      <c r="C512" s="8"/>
      <c r="D512" s="8"/>
      <c r="E512" s="14"/>
      <c r="F512" s="8"/>
      <c r="G512" s="2"/>
      <c r="H512" s="2"/>
    </row>
    <row r="513" customFormat="false" ht="15" hidden="false" customHeight="false" outlineLevel="0" collapsed="false">
      <c r="A513" s="11"/>
      <c r="B513" s="10"/>
      <c r="C513" s="8"/>
      <c r="D513" s="8"/>
      <c r="E513" s="14"/>
      <c r="F513" s="8"/>
      <c r="G513" s="2"/>
      <c r="H513" s="2"/>
    </row>
    <row r="514" customFormat="false" ht="15" hidden="false" customHeight="false" outlineLevel="0" collapsed="false">
      <c r="A514" s="11"/>
      <c r="B514" s="10"/>
      <c r="C514" s="8"/>
      <c r="D514" s="8"/>
      <c r="E514" s="14"/>
      <c r="F514" s="8"/>
      <c r="G514" s="2"/>
      <c r="H514" s="2"/>
    </row>
    <row r="515" customFormat="false" ht="15" hidden="false" customHeight="false" outlineLevel="0" collapsed="false">
      <c r="A515" s="11"/>
      <c r="B515" s="10"/>
      <c r="C515" s="8"/>
      <c r="D515" s="8"/>
      <c r="E515" s="14"/>
      <c r="F515" s="8"/>
      <c r="G515" s="2"/>
      <c r="H515" s="2"/>
    </row>
    <row r="516" customFormat="false" ht="15" hidden="false" customHeight="false" outlineLevel="0" collapsed="false">
      <c r="A516" s="11"/>
      <c r="B516" s="10"/>
      <c r="C516" s="8"/>
      <c r="D516" s="8"/>
      <c r="E516" s="14"/>
      <c r="F516" s="8"/>
      <c r="G516" s="2"/>
      <c r="H516" s="2"/>
    </row>
    <row r="517" customFormat="false" ht="15" hidden="false" customHeight="false" outlineLevel="0" collapsed="false">
      <c r="A517" s="11"/>
      <c r="B517" s="10"/>
      <c r="C517" s="8"/>
      <c r="D517" s="8"/>
      <c r="E517" s="14"/>
      <c r="F517" s="8"/>
      <c r="G517" s="2"/>
      <c r="H517" s="2"/>
    </row>
    <row r="518" customFormat="false" ht="15" hidden="false" customHeight="false" outlineLevel="0" collapsed="false">
      <c r="A518" s="11"/>
      <c r="B518" s="10"/>
      <c r="C518" s="8"/>
      <c r="D518" s="8"/>
      <c r="E518" s="14"/>
      <c r="F518" s="8"/>
      <c r="G518" s="2"/>
      <c r="H518" s="2"/>
    </row>
    <row r="519" customFormat="false" ht="15" hidden="false" customHeight="false" outlineLevel="0" collapsed="false">
      <c r="A519" s="11"/>
      <c r="B519" s="10"/>
      <c r="C519" s="8"/>
      <c r="D519" s="8"/>
      <c r="E519" s="14"/>
      <c r="F519" s="8"/>
      <c r="G519" s="2"/>
      <c r="H519" s="2"/>
    </row>
    <row r="520" customFormat="false" ht="15" hidden="false" customHeight="false" outlineLevel="0" collapsed="false">
      <c r="A520" s="11"/>
      <c r="B520" s="10"/>
      <c r="C520" s="8"/>
      <c r="D520" s="8"/>
      <c r="E520" s="14"/>
      <c r="F520" s="8"/>
      <c r="G520" s="2"/>
      <c r="H520" s="2"/>
    </row>
    <row r="521" customFormat="false" ht="15" hidden="false" customHeight="false" outlineLevel="0" collapsed="false">
      <c r="A521" s="11"/>
      <c r="B521" s="10"/>
      <c r="C521" s="8"/>
      <c r="D521" s="8"/>
      <c r="E521" s="14"/>
      <c r="F521" s="8"/>
      <c r="G521" s="2"/>
      <c r="H521" s="2"/>
    </row>
    <row r="522" customFormat="false" ht="15" hidden="false" customHeight="false" outlineLevel="0" collapsed="false">
      <c r="A522" s="11"/>
      <c r="B522" s="10"/>
      <c r="C522" s="8"/>
      <c r="D522" s="8"/>
      <c r="E522" s="14"/>
      <c r="F522" s="8"/>
      <c r="G522" s="2"/>
      <c r="H522" s="2"/>
    </row>
    <row r="523" customFormat="false" ht="15" hidden="false" customHeight="false" outlineLevel="0" collapsed="false">
      <c r="A523" s="11"/>
      <c r="B523" s="10"/>
      <c r="C523" s="8"/>
      <c r="D523" s="8"/>
      <c r="E523" s="14"/>
      <c r="F523" s="8"/>
      <c r="G523" s="2"/>
      <c r="H523" s="2"/>
    </row>
    <row r="524" customFormat="false" ht="15" hidden="false" customHeight="false" outlineLevel="0" collapsed="false">
      <c r="A524" s="11"/>
      <c r="B524" s="10"/>
      <c r="C524" s="8"/>
      <c r="D524" s="8"/>
      <c r="E524" s="14"/>
      <c r="F524" s="8"/>
      <c r="G524" s="2"/>
      <c r="H524" s="2"/>
    </row>
    <row r="525" customFormat="false" ht="15" hidden="false" customHeight="false" outlineLevel="0" collapsed="false">
      <c r="A525" s="11"/>
      <c r="B525" s="10"/>
      <c r="C525" s="8"/>
      <c r="D525" s="8"/>
      <c r="E525" s="14"/>
      <c r="F525" s="8"/>
      <c r="G525" s="2"/>
      <c r="H525" s="2"/>
    </row>
    <row r="526" customFormat="false" ht="15" hidden="false" customHeight="false" outlineLevel="0" collapsed="false">
      <c r="A526" s="11"/>
      <c r="B526" s="10"/>
      <c r="C526" s="8"/>
      <c r="D526" s="8"/>
      <c r="E526" s="14"/>
      <c r="F526" s="8"/>
      <c r="G526" s="2"/>
      <c r="H526" s="2"/>
    </row>
    <row r="527" customFormat="false" ht="15" hidden="false" customHeight="false" outlineLevel="0" collapsed="false">
      <c r="A527" s="11"/>
      <c r="B527" s="10"/>
      <c r="C527" s="8"/>
      <c r="D527" s="8"/>
      <c r="E527" s="14"/>
      <c r="F527" s="8"/>
      <c r="G527" s="2"/>
      <c r="H527" s="2"/>
    </row>
    <row r="528" customFormat="false" ht="15" hidden="false" customHeight="false" outlineLevel="0" collapsed="false">
      <c r="A528" s="11"/>
      <c r="B528" s="10"/>
      <c r="C528" s="8"/>
      <c r="D528" s="8"/>
      <c r="E528" s="14"/>
      <c r="F528" s="8"/>
      <c r="G528" s="2"/>
      <c r="H528" s="2"/>
    </row>
    <row r="529" customFormat="false" ht="15" hidden="false" customHeight="false" outlineLevel="0" collapsed="false">
      <c r="A529" s="11"/>
      <c r="B529" s="10"/>
      <c r="C529" s="8"/>
      <c r="D529" s="8"/>
      <c r="E529" s="14"/>
      <c r="F529" s="8"/>
      <c r="G529" s="2"/>
      <c r="H529" s="2"/>
    </row>
    <row r="530" customFormat="false" ht="15" hidden="false" customHeight="false" outlineLevel="0" collapsed="false">
      <c r="A530" s="11"/>
      <c r="B530" s="10"/>
      <c r="C530" s="8"/>
      <c r="D530" s="8"/>
      <c r="E530" s="14"/>
      <c r="F530" s="8"/>
      <c r="G530" s="2"/>
      <c r="H530" s="2"/>
    </row>
    <row r="531" customFormat="false" ht="15" hidden="false" customHeight="false" outlineLevel="0" collapsed="false">
      <c r="A531" s="11"/>
      <c r="B531" s="10"/>
      <c r="C531" s="8"/>
      <c r="D531" s="8"/>
      <c r="E531" s="14"/>
      <c r="F531" s="8"/>
      <c r="G531" s="2"/>
      <c r="H531" s="2"/>
    </row>
    <row r="532" customFormat="false" ht="15" hidden="false" customHeight="false" outlineLevel="0" collapsed="false">
      <c r="A532" s="11"/>
      <c r="B532" s="10"/>
      <c r="C532" s="8"/>
      <c r="D532" s="8"/>
      <c r="E532" s="14"/>
      <c r="F532" s="8"/>
      <c r="G532" s="2"/>
      <c r="H532" s="2"/>
    </row>
    <row r="533" customFormat="false" ht="15" hidden="false" customHeight="false" outlineLevel="0" collapsed="false">
      <c r="A533" s="11"/>
      <c r="B533" s="10"/>
      <c r="C533" s="8"/>
      <c r="D533" s="8"/>
      <c r="E533" s="14"/>
      <c r="F533" s="8"/>
      <c r="G533" s="2"/>
      <c r="H533" s="2"/>
    </row>
    <row r="534" customFormat="false" ht="15" hidden="false" customHeight="false" outlineLevel="0" collapsed="false">
      <c r="A534" s="11"/>
      <c r="B534" s="10"/>
      <c r="C534" s="8"/>
      <c r="D534" s="8"/>
      <c r="E534" s="14"/>
      <c r="F534" s="8"/>
      <c r="G534" s="2"/>
      <c r="H534" s="2"/>
    </row>
    <row r="535" customFormat="false" ht="15" hidden="false" customHeight="false" outlineLevel="0" collapsed="false">
      <c r="A535" s="11"/>
      <c r="B535" s="10"/>
      <c r="C535" s="8"/>
      <c r="D535" s="8"/>
      <c r="E535" s="14"/>
      <c r="F535" s="8"/>
      <c r="G535" s="2"/>
      <c r="H535" s="2"/>
    </row>
    <row r="536" customFormat="false" ht="15" hidden="false" customHeight="false" outlineLevel="0" collapsed="false">
      <c r="A536" s="11"/>
      <c r="B536" s="10"/>
      <c r="C536" s="8"/>
      <c r="D536" s="8"/>
      <c r="E536" s="14"/>
      <c r="F536" s="8"/>
      <c r="G536" s="2"/>
      <c r="H536" s="2"/>
    </row>
    <row r="537" customFormat="false" ht="15" hidden="false" customHeight="false" outlineLevel="0" collapsed="false">
      <c r="A537" s="11"/>
      <c r="B537" s="10"/>
      <c r="C537" s="8"/>
      <c r="D537" s="8"/>
      <c r="E537" s="14"/>
      <c r="F537" s="8"/>
      <c r="G537" s="2"/>
      <c r="H537" s="2"/>
    </row>
    <row r="538" customFormat="false" ht="15" hidden="false" customHeight="false" outlineLevel="0" collapsed="false">
      <c r="A538" s="11"/>
      <c r="B538" s="10"/>
      <c r="C538" s="8"/>
      <c r="D538" s="8"/>
      <c r="E538" s="14"/>
      <c r="F538" s="8"/>
      <c r="G538" s="2"/>
      <c r="H538" s="2"/>
    </row>
    <row r="539" customFormat="false" ht="15" hidden="false" customHeight="false" outlineLevel="0" collapsed="false">
      <c r="A539" s="11"/>
      <c r="B539" s="10"/>
      <c r="C539" s="8"/>
      <c r="D539" s="8"/>
      <c r="E539" s="14"/>
      <c r="F539" s="8"/>
      <c r="G539" s="2"/>
      <c r="H539" s="2"/>
    </row>
    <row r="540" customFormat="false" ht="15" hidden="false" customHeight="false" outlineLevel="0" collapsed="false">
      <c r="A540" s="11"/>
      <c r="B540" s="10"/>
      <c r="C540" s="8"/>
      <c r="D540" s="8"/>
      <c r="E540" s="14"/>
      <c r="F540" s="8"/>
      <c r="G540" s="2"/>
      <c r="H540" s="2"/>
    </row>
    <row r="541" customFormat="false" ht="15" hidden="false" customHeight="false" outlineLevel="0" collapsed="false">
      <c r="A541" s="11"/>
      <c r="B541" s="10"/>
      <c r="C541" s="8"/>
      <c r="D541" s="8"/>
      <c r="E541" s="14"/>
      <c r="F541" s="8"/>
      <c r="G541" s="2"/>
      <c r="H541" s="2"/>
    </row>
    <row r="542" customFormat="false" ht="15" hidden="false" customHeight="false" outlineLevel="0" collapsed="false">
      <c r="A542" s="11"/>
      <c r="B542" s="10"/>
      <c r="C542" s="8"/>
      <c r="D542" s="8"/>
      <c r="E542" s="14"/>
      <c r="F542" s="8"/>
      <c r="G542" s="2"/>
      <c r="H542" s="2"/>
    </row>
    <row r="543" customFormat="false" ht="15" hidden="false" customHeight="false" outlineLevel="0" collapsed="false">
      <c r="A543" s="11"/>
      <c r="B543" s="10"/>
      <c r="C543" s="8"/>
      <c r="D543" s="8"/>
      <c r="E543" s="14"/>
      <c r="F543" s="8"/>
      <c r="G543" s="2"/>
      <c r="H543" s="2"/>
    </row>
    <row r="544" customFormat="false" ht="15" hidden="false" customHeight="false" outlineLevel="0" collapsed="false">
      <c r="A544" s="11"/>
      <c r="B544" s="10"/>
      <c r="C544" s="8"/>
      <c r="D544" s="8"/>
      <c r="E544" s="14"/>
      <c r="F544" s="8"/>
      <c r="G544" s="2"/>
      <c r="H544" s="2"/>
    </row>
    <row r="545" customFormat="false" ht="15" hidden="false" customHeight="false" outlineLevel="0" collapsed="false">
      <c r="A545" s="11"/>
      <c r="B545" s="10"/>
      <c r="C545" s="8"/>
      <c r="D545" s="8"/>
      <c r="E545" s="14"/>
      <c r="F545" s="8"/>
      <c r="G545" s="2"/>
      <c r="H545" s="2"/>
    </row>
    <row r="546" customFormat="false" ht="15" hidden="false" customHeight="false" outlineLevel="0" collapsed="false">
      <c r="A546" s="11"/>
      <c r="B546" s="10"/>
      <c r="C546" s="8"/>
      <c r="D546" s="8"/>
      <c r="E546" s="14"/>
      <c r="F546" s="8"/>
      <c r="G546" s="2"/>
      <c r="H546" s="2"/>
    </row>
    <row r="547" customFormat="false" ht="15" hidden="false" customHeight="false" outlineLevel="0" collapsed="false">
      <c r="A547" s="11"/>
      <c r="B547" s="10"/>
      <c r="C547" s="8"/>
      <c r="D547" s="8"/>
      <c r="E547" s="14"/>
      <c r="F547" s="8"/>
      <c r="G547" s="2"/>
      <c r="H547" s="2"/>
    </row>
    <row r="548" customFormat="false" ht="15" hidden="false" customHeight="false" outlineLevel="0" collapsed="false">
      <c r="A548" s="11"/>
      <c r="B548" s="10"/>
      <c r="C548" s="8"/>
      <c r="D548" s="8"/>
      <c r="E548" s="14"/>
      <c r="F548" s="8"/>
      <c r="G548" s="2"/>
      <c r="H548" s="2"/>
    </row>
    <row r="549" customFormat="false" ht="15" hidden="false" customHeight="false" outlineLevel="0" collapsed="false">
      <c r="A549" s="11"/>
      <c r="B549" s="10"/>
      <c r="C549" s="8"/>
      <c r="D549" s="8"/>
      <c r="E549" s="14"/>
      <c r="F549" s="8"/>
      <c r="G549" s="2"/>
      <c r="H549" s="2"/>
    </row>
    <row r="550" customFormat="false" ht="15" hidden="false" customHeight="false" outlineLevel="0" collapsed="false">
      <c r="A550" s="11"/>
      <c r="B550" s="10"/>
      <c r="C550" s="8"/>
      <c r="D550" s="8"/>
      <c r="E550" s="14"/>
      <c r="F550" s="8"/>
      <c r="G550" s="2"/>
      <c r="H550" s="2"/>
    </row>
    <row r="551" customFormat="false" ht="15" hidden="false" customHeight="false" outlineLevel="0" collapsed="false">
      <c r="A551" s="11"/>
      <c r="B551" s="10"/>
      <c r="C551" s="8"/>
      <c r="D551" s="8"/>
      <c r="E551" s="14"/>
      <c r="F551" s="8"/>
      <c r="G551" s="2"/>
      <c r="H551" s="2"/>
    </row>
    <row r="552" customFormat="false" ht="15" hidden="false" customHeight="false" outlineLevel="0" collapsed="false">
      <c r="A552" s="11"/>
      <c r="B552" s="10"/>
      <c r="C552" s="8"/>
      <c r="D552" s="8"/>
      <c r="E552" s="14"/>
      <c r="F552" s="8"/>
      <c r="G552" s="2"/>
      <c r="H552" s="2"/>
    </row>
    <row r="553" customFormat="false" ht="15" hidden="false" customHeight="false" outlineLevel="0" collapsed="false">
      <c r="A553" s="11"/>
      <c r="B553" s="10"/>
      <c r="C553" s="8"/>
      <c r="D553" s="8"/>
      <c r="E553" s="14"/>
      <c r="F553" s="8"/>
      <c r="G553" s="2"/>
      <c r="H553" s="2"/>
    </row>
    <row r="554" customFormat="false" ht="15" hidden="false" customHeight="false" outlineLevel="0" collapsed="false">
      <c r="A554" s="11"/>
      <c r="B554" s="10"/>
      <c r="C554" s="8"/>
      <c r="D554" s="8"/>
      <c r="E554" s="14"/>
      <c r="F554" s="8"/>
      <c r="G554" s="2"/>
      <c r="H554" s="2"/>
    </row>
    <row r="555" customFormat="false" ht="15" hidden="false" customHeight="false" outlineLevel="0" collapsed="false">
      <c r="A555" s="11"/>
      <c r="B555" s="10"/>
      <c r="C555" s="8"/>
      <c r="D555" s="8"/>
      <c r="E555" s="14"/>
      <c r="F555" s="8"/>
      <c r="G555" s="2"/>
      <c r="H555" s="2"/>
    </row>
    <row r="556" customFormat="false" ht="15" hidden="false" customHeight="false" outlineLevel="0" collapsed="false">
      <c r="A556" s="11"/>
      <c r="B556" s="10"/>
      <c r="C556" s="8"/>
      <c r="D556" s="8"/>
      <c r="E556" s="14"/>
      <c r="F556" s="8"/>
      <c r="G556" s="2"/>
      <c r="H556" s="2"/>
    </row>
    <row r="557" customFormat="false" ht="15" hidden="false" customHeight="false" outlineLevel="0" collapsed="false">
      <c r="A557" s="11"/>
      <c r="B557" s="10"/>
      <c r="C557" s="8"/>
      <c r="D557" s="8"/>
      <c r="E557" s="14"/>
      <c r="F557" s="8"/>
      <c r="G557" s="2"/>
      <c r="H557" s="2"/>
    </row>
    <row r="558" customFormat="false" ht="15" hidden="false" customHeight="false" outlineLevel="0" collapsed="false">
      <c r="A558" s="11"/>
      <c r="B558" s="10"/>
      <c r="C558" s="8"/>
      <c r="D558" s="8"/>
      <c r="E558" s="14"/>
      <c r="F558" s="8"/>
      <c r="G558" s="2"/>
      <c r="H558" s="2"/>
    </row>
    <row r="559" customFormat="false" ht="15" hidden="false" customHeight="false" outlineLevel="0" collapsed="false">
      <c r="A559" s="11"/>
      <c r="B559" s="10"/>
      <c r="C559" s="8"/>
      <c r="D559" s="8"/>
      <c r="E559" s="14"/>
      <c r="F559" s="8"/>
      <c r="G559" s="2"/>
      <c r="H559" s="2"/>
    </row>
    <row r="560" customFormat="false" ht="15" hidden="false" customHeight="false" outlineLevel="0" collapsed="false">
      <c r="A560" s="11"/>
      <c r="B560" s="10"/>
      <c r="C560" s="8"/>
      <c r="D560" s="8"/>
      <c r="E560" s="14"/>
      <c r="F560" s="8"/>
      <c r="G560" s="2"/>
      <c r="H560" s="2"/>
    </row>
    <row r="561" customFormat="false" ht="15" hidden="false" customHeight="false" outlineLevel="0" collapsed="false">
      <c r="A561" s="11"/>
      <c r="B561" s="10"/>
      <c r="C561" s="8"/>
      <c r="D561" s="8"/>
      <c r="E561" s="14"/>
      <c r="F561" s="8"/>
      <c r="G561" s="2"/>
      <c r="H561" s="2"/>
    </row>
    <row r="562" customFormat="false" ht="15" hidden="false" customHeight="false" outlineLevel="0" collapsed="false">
      <c r="A562" s="11"/>
      <c r="B562" s="10"/>
      <c r="C562" s="8"/>
      <c r="D562" s="8"/>
      <c r="E562" s="14"/>
      <c r="F562" s="8"/>
      <c r="G562" s="2"/>
      <c r="H562" s="2"/>
    </row>
    <row r="563" customFormat="false" ht="15" hidden="false" customHeight="false" outlineLevel="0" collapsed="false">
      <c r="A563" s="11"/>
      <c r="B563" s="10"/>
      <c r="C563" s="8"/>
      <c r="D563" s="8"/>
      <c r="E563" s="14"/>
      <c r="F563" s="8"/>
      <c r="G563" s="2"/>
      <c r="H563" s="2"/>
    </row>
    <row r="564" customFormat="false" ht="15" hidden="false" customHeight="false" outlineLevel="0" collapsed="false">
      <c r="A564" s="11"/>
      <c r="B564" s="10"/>
      <c r="C564" s="8"/>
      <c r="D564" s="8"/>
      <c r="E564" s="14"/>
      <c r="F564" s="8"/>
      <c r="G564" s="2"/>
      <c r="H564" s="2"/>
    </row>
    <row r="565" customFormat="false" ht="15" hidden="false" customHeight="false" outlineLevel="0" collapsed="false">
      <c r="A565" s="11"/>
      <c r="B565" s="10"/>
      <c r="C565" s="8"/>
      <c r="D565" s="8"/>
      <c r="E565" s="14"/>
      <c r="F565" s="8"/>
      <c r="G565" s="2"/>
      <c r="H565" s="2"/>
    </row>
    <row r="566" customFormat="false" ht="15" hidden="false" customHeight="false" outlineLevel="0" collapsed="false">
      <c r="A566" s="11"/>
      <c r="B566" s="10"/>
      <c r="C566" s="8"/>
      <c r="D566" s="8"/>
      <c r="E566" s="14"/>
      <c r="F566" s="8"/>
      <c r="G566" s="2"/>
      <c r="H566" s="2"/>
    </row>
    <row r="567" customFormat="false" ht="15" hidden="false" customHeight="false" outlineLevel="0" collapsed="false">
      <c r="A567" s="11"/>
      <c r="B567" s="10"/>
      <c r="C567" s="8"/>
      <c r="D567" s="8"/>
      <c r="E567" s="14"/>
      <c r="F567" s="8"/>
      <c r="G567" s="2"/>
      <c r="H567" s="2"/>
    </row>
    <row r="568" customFormat="false" ht="15" hidden="false" customHeight="false" outlineLevel="0" collapsed="false">
      <c r="A568" s="11"/>
      <c r="B568" s="10"/>
      <c r="C568" s="8"/>
      <c r="D568" s="8"/>
      <c r="E568" s="14"/>
      <c r="F568" s="8"/>
      <c r="G568" s="2"/>
      <c r="H568" s="2"/>
    </row>
    <row r="569" customFormat="false" ht="15" hidden="false" customHeight="false" outlineLevel="0" collapsed="false">
      <c r="A569" s="11"/>
      <c r="B569" s="10"/>
      <c r="C569" s="8"/>
      <c r="D569" s="8"/>
      <c r="E569" s="14"/>
      <c r="F569" s="8"/>
      <c r="G569" s="2"/>
      <c r="H569" s="2"/>
    </row>
    <row r="570" customFormat="false" ht="15" hidden="false" customHeight="false" outlineLevel="0" collapsed="false">
      <c r="A570" s="11"/>
      <c r="B570" s="10"/>
      <c r="C570" s="8"/>
      <c r="D570" s="8"/>
      <c r="E570" s="14"/>
      <c r="F570" s="8"/>
      <c r="G570" s="2"/>
      <c r="H570" s="2"/>
    </row>
    <row r="571" customFormat="false" ht="15" hidden="false" customHeight="false" outlineLevel="0" collapsed="false">
      <c r="A571" s="11"/>
      <c r="B571" s="10"/>
      <c r="C571" s="8"/>
      <c r="D571" s="8"/>
      <c r="E571" s="14"/>
      <c r="F571" s="8"/>
      <c r="G571" s="2"/>
      <c r="H571" s="2"/>
    </row>
    <row r="572" customFormat="false" ht="15" hidden="false" customHeight="false" outlineLevel="0" collapsed="false">
      <c r="A572" s="11"/>
      <c r="B572" s="10"/>
      <c r="C572" s="8"/>
      <c r="D572" s="8"/>
      <c r="E572" s="14"/>
      <c r="F572" s="8"/>
      <c r="G572" s="2"/>
      <c r="H572" s="2"/>
    </row>
    <row r="573" customFormat="false" ht="15" hidden="false" customHeight="false" outlineLevel="0" collapsed="false">
      <c r="A573" s="11"/>
      <c r="B573" s="10"/>
      <c r="C573" s="8"/>
      <c r="D573" s="8"/>
      <c r="E573" s="14"/>
      <c r="F573" s="8"/>
      <c r="G573" s="2"/>
      <c r="H573" s="2"/>
    </row>
    <row r="574" customFormat="false" ht="15" hidden="false" customHeight="false" outlineLevel="0" collapsed="false">
      <c r="A574" s="11"/>
      <c r="B574" s="10"/>
      <c r="C574" s="8"/>
      <c r="D574" s="8"/>
      <c r="E574" s="14"/>
      <c r="F574" s="8"/>
      <c r="G574" s="2"/>
      <c r="H574" s="2"/>
    </row>
    <row r="575" customFormat="false" ht="15" hidden="false" customHeight="false" outlineLevel="0" collapsed="false">
      <c r="A575" s="11"/>
      <c r="B575" s="10"/>
      <c r="C575" s="8"/>
      <c r="D575" s="8"/>
      <c r="E575" s="14"/>
      <c r="F575" s="8"/>
      <c r="G575" s="2"/>
      <c r="H575" s="2"/>
    </row>
    <row r="576" customFormat="false" ht="15" hidden="false" customHeight="false" outlineLevel="0" collapsed="false">
      <c r="A576" s="11"/>
      <c r="B576" s="10"/>
      <c r="C576" s="8"/>
      <c r="D576" s="8"/>
      <c r="E576" s="14"/>
      <c r="F576" s="8"/>
      <c r="G576" s="2"/>
      <c r="H576" s="2"/>
    </row>
    <row r="577" customFormat="false" ht="15" hidden="false" customHeight="false" outlineLevel="0" collapsed="false">
      <c r="A577" s="11"/>
      <c r="B577" s="10"/>
      <c r="C577" s="8"/>
      <c r="D577" s="8"/>
      <c r="E577" s="14"/>
      <c r="F577" s="8"/>
      <c r="G577" s="2"/>
      <c r="H577" s="2"/>
    </row>
    <row r="578" customFormat="false" ht="15" hidden="false" customHeight="false" outlineLevel="0" collapsed="false">
      <c r="A578" s="11"/>
      <c r="B578" s="10"/>
      <c r="C578" s="8"/>
      <c r="D578" s="8"/>
      <c r="E578" s="14"/>
      <c r="F578" s="8"/>
      <c r="G578" s="2"/>
      <c r="H578" s="2"/>
    </row>
    <row r="579" customFormat="false" ht="15" hidden="false" customHeight="false" outlineLevel="0" collapsed="false">
      <c r="A579" s="11"/>
      <c r="B579" s="10"/>
      <c r="C579" s="8"/>
      <c r="D579" s="8"/>
      <c r="E579" s="14"/>
      <c r="F579" s="8"/>
      <c r="G579" s="2"/>
      <c r="H579" s="2"/>
    </row>
    <row r="580" customFormat="false" ht="15" hidden="false" customHeight="false" outlineLevel="0" collapsed="false">
      <c r="A580" s="11"/>
      <c r="B580" s="10"/>
      <c r="C580" s="8"/>
      <c r="D580" s="8"/>
      <c r="E580" s="14"/>
      <c r="F580" s="8"/>
      <c r="G580" s="2"/>
      <c r="H580" s="2"/>
    </row>
    <row r="581" customFormat="false" ht="15" hidden="false" customHeight="false" outlineLevel="0" collapsed="false">
      <c r="A581" s="11"/>
      <c r="B581" s="10"/>
      <c r="C581" s="8"/>
      <c r="D581" s="8"/>
      <c r="E581" s="14"/>
      <c r="F581" s="8"/>
      <c r="G581" s="2"/>
      <c r="H581" s="2"/>
    </row>
    <row r="582" customFormat="false" ht="15" hidden="false" customHeight="false" outlineLevel="0" collapsed="false">
      <c r="A582" s="11"/>
      <c r="B582" s="10"/>
      <c r="C582" s="8"/>
      <c r="D582" s="8"/>
      <c r="E582" s="14"/>
      <c r="F582" s="8"/>
      <c r="G582" s="2"/>
      <c r="H582" s="2"/>
    </row>
    <row r="583" customFormat="false" ht="15" hidden="false" customHeight="false" outlineLevel="0" collapsed="false">
      <c r="A583" s="11"/>
      <c r="B583" s="10"/>
      <c r="C583" s="8"/>
      <c r="D583" s="8"/>
      <c r="E583" s="14"/>
      <c r="F583" s="8"/>
      <c r="G583" s="2"/>
      <c r="H583" s="2"/>
    </row>
    <row r="584" customFormat="false" ht="15" hidden="false" customHeight="false" outlineLevel="0" collapsed="false">
      <c r="A584" s="11"/>
      <c r="B584" s="10"/>
      <c r="C584" s="8"/>
      <c r="D584" s="8"/>
      <c r="E584" s="14"/>
      <c r="F584" s="8"/>
      <c r="G584" s="2"/>
      <c r="H584" s="2"/>
    </row>
    <row r="585" customFormat="false" ht="15" hidden="false" customHeight="false" outlineLevel="0" collapsed="false">
      <c r="A585" s="11"/>
      <c r="B585" s="10"/>
      <c r="C585" s="8"/>
      <c r="D585" s="8"/>
      <c r="E585" s="14"/>
      <c r="F585" s="8"/>
      <c r="G585" s="2"/>
      <c r="H585" s="2"/>
    </row>
    <row r="586" customFormat="false" ht="15" hidden="false" customHeight="false" outlineLevel="0" collapsed="false">
      <c r="A586" s="11"/>
      <c r="B586" s="10"/>
      <c r="C586" s="8"/>
      <c r="D586" s="8"/>
      <c r="E586" s="14"/>
      <c r="F586" s="8"/>
      <c r="G586" s="2"/>
      <c r="H586" s="2"/>
    </row>
    <row r="587" customFormat="false" ht="15" hidden="false" customHeight="false" outlineLevel="0" collapsed="false">
      <c r="A587" s="11"/>
      <c r="B587" s="10"/>
      <c r="C587" s="8"/>
      <c r="D587" s="8"/>
      <c r="E587" s="14"/>
      <c r="F587" s="8"/>
      <c r="G587" s="2"/>
      <c r="H587" s="2"/>
    </row>
    <row r="588" customFormat="false" ht="15" hidden="false" customHeight="false" outlineLevel="0" collapsed="false">
      <c r="A588" s="11"/>
      <c r="B588" s="10"/>
      <c r="C588" s="8"/>
      <c r="D588" s="8"/>
      <c r="E588" s="14"/>
      <c r="F588" s="8"/>
      <c r="G588" s="2"/>
      <c r="H588" s="2"/>
    </row>
    <row r="589" customFormat="false" ht="15" hidden="false" customHeight="false" outlineLevel="0" collapsed="false">
      <c r="A589" s="11"/>
      <c r="B589" s="10"/>
      <c r="C589" s="8"/>
      <c r="D589" s="8"/>
      <c r="E589" s="14"/>
      <c r="F589" s="8"/>
      <c r="G589" s="2"/>
      <c r="H589" s="2"/>
    </row>
    <row r="590" customFormat="false" ht="15" hidden="false" customHeight="false" outlineLevel="0" collapsed="false">
      <c r="A590" s="11"/>
      <c r="B590" s="10"/>
      <c r="C590" s="8"/>
      <c r="D590" s="8"/>
      <c r="E590" s="14"/>
      <c r="F590" s="8"/>
      <c r="G590" s="2"/>
      <c r="H590" s="2"/>
    </row>
    <row r="591" customFormat="false" ht="15" hidden="false" customHeight="false" outlineLevel="0" collapsed="false">
      <c r="A591" s="11"/>
      <c r="B591" s="10"/>
      <c r="C591" s="8"/>
      <c r="D591" s="8"/>
      <c r="E591" s="14"/>
      <c r="F591" s="8"/>
      <c r="G591" s="2"/>
      <c r="H591" s="2"/>
    </row>
    <row r="592" customFormat="false" ht="15" hidden="false" customHeight="false" outlineLevel="0" collapsed="false">
      <c r="A592" s="11"/>
      <c r="B592" s="10"/>
      <c r="C592" s="8"/>
      <c r="D592" s="8"/>
      <c r="E592" s="14"/>
      <c r="F592" s="8"/>
      <c r="G592" s="2"/>
      <c r="H592" s="2"/>
    </row>
    <row r="593" customFormat="false" ht="15" hidden="false" customHeight="false" outlineLevel="0" collapsed="false">
      <c r="A593" s="11"/>
      <c r="B593" s="10"/>
      <c r="C593" s="8"/>
      <c r="D593" s="8"/>
      <c r="E593" s="14"/>
      <c r="F593" s="8"/>
      <c r="G593" s="2"/>
      <c r="H593" s="2"/>
    </row>
    <row r="594" customFormat="false" ht="15" hidden="false" customHeight="false" outlineLevel="0" collapsed="false">
      <c r="A594" s="11"/>
      <c r="B594" s="10"/>
      <c r="C594" s="8"/>
      <c r="D594" s="8"/>
      <c r="E594" s="14"/>
      <c r="F594" s="8"/>
      <c r="G594" s="2"/>
      <c r="H594" s="2"/>
    </row>
    <row r="595" customFormat="false" ht="15" hidden="false" customHeight="false" outlineLevel="0" collapsed="false">
      <c r="A595" s="11"/>
      <c r="B595" s="10"/>
      <c r="C595" s="8"/>
      <c r="D595" s="8"/>
      <c r="E595" s="14"/>
      <c r="F595" s="8"/>
      <c r="G595" s="2"/>
      <c r="H595" s="2"/>
    </row>
    <row r="596" customFormat="false" ht="15" hidden="false" customHeight="false" outlineLevel="0" collapsed="false">
      <c r="A596" s="11"/>
      <c r="B596" s="10"/>
      <c r="C596" s="8"/>
      <c r="D596" s="8"/>
      <c r="E596" s="14"/>
      <c r="F596" s="8"/>
      <c r="G596" s="2"/>
      <c r="H596" s="2"/>
    </row>
    <row r="597" customFormat="false" ht="15" hidden="false" customHeight="false" outlineLevel="0" collapsed="false">
      <c r="A597" s="11"/>
      <c r="B597" s="10"/>
      <c r="C597" s="8"/>
      <c r="D597" s="8"/>
      <c r="E597" s="14"/>
      <c r="F597" s="8"/>
      <c r="G597" s="2"/>
      <c r="H597" s="2"/>
    </row>
    <row r="598" customFormat="false" ht="15" hidden="false" customHeight="false" outlineLevel="0" collapsed="false">
      <c r="A598" s="11"/>
      <c r="B598" s="10"/>
      <c r="C598" s="8"/>
      <c r="D598" s="8"/>
      <c r="E598" s="14"/>
      <c r="F598" s="8"/>
      <c r="G598" s="2"/>
      <c r="H598" s="2"/>
    </row>
    <row r="599" customFormat="false" ht="15" hidden="false" customHeight="false" outlineLevel="0" collapsed="false">
      <c r="A599" s="11"/>
      <c r="B599" s="10"/>
      <c r="C599" s="8"/>
      <c r="D599" s="8"/>
      <c r="E599" s="14"/>
      <c r="F599" s="8"/>
      <c r="G599" s="2"/>
      <c r="H599" s="2"/>
    </row>
    <row r="600" customFormat="false" ht="15" hidden="false" customHeight="false" outlineLevel="0" collapsed="false">
      <c r="A600" s="11"/>
      <c r="B600" s="10"/>
      <c r="C600" s="8"/>
      <c r="D600" s="8"/>
      <c r="E600" s="14"/>
      <c r="F600" s="8"/>
      <c r="G600" s="2"/>
      <c r="H600" s="2"/>
    </row>
    <row r="601" customFormat="false" ht="15" hidden="false" customHeight="false" outlineLevel="0" collapsed="false">
      <c r="A601" s="11"/>
      <c r="B601" s="10"/>
      <c r="C601" s="8"/>
      <c r="D601" s="8"/>
      <c r="E601" s="14"/>
      <c r="F601" s="8"/>
      <c r="G601" s="2"/>
      <c r="H601" s="2"/>
    </row>
    <row r="602" customFormat="false" ht="15" hidden="false" customHeight="false" outlineLevel="0" collapsed="false">
      <c r="A602" s="11"/>
      <c r="B602" s="10"/>
      <c r="C602" s="8"/>
      <c r="D602" s="8"/>
      <c r="E602" s="14"/>
      <c r="F602" s="8"/>
      <c r="G602" s="2"/>
      <c r="H602" s="2"/>
    </row>
    <row r="603" customFormat="false" ht="15" hidden="false" customHeight="false" outlineLevel="0" collapsed="false">
      <c r="A603" s="11"/>
      <c r="B603" s="10"/>
      <c r="C603" s="8"/>
      <c r="D603" s="8"/>
      <c r="E603" s="14"/>
      <c r="F603" s="8"/>
      <c r="G603" s="2"/>
      <c r="H603" s="2"/>
    </row>
    <row r="604" customFormat="false" ht="15" hidden="false" customHeight="false" outlineLevel="0" collapsed="false">
      <c r="A604" s="11"/>
      <c r="B604" s="10"/>
      <c r="C604" s="8"/>
      <c r="D604" s="8"/>
      <c r="E604" s="14"/>
      <c r="F604" s="8"/>
      <c r="G604" s="2"/>
      <c r="H604" s="2"/>
    </row>
    <row r="605" customFormat="false" ht="15" hidden="false" customHeight="false" outlineLevel="0" collapsed="false">
      <c r="A605" s="11"/>
      <c r="B605" s="10"/>
      <c r="C605" s="8"/>
      <c r="D605" s="8"/>
      <c r="E605" s="14"/>
      <c r="F605" s="8"/>
      <c r="G605" s="2"/>
      <c r="H605" s="2"/>
    </row>
    <row r="606" customFormat="false" ht="15" hidden="false" customHeight="false" outlineLevel="0" collapsed="false">
      <c r="A606" s="11"/>
      <c r="B606" s="10"/>
      <c r="C606" s="8"/>
      <c r="D606" s="8"/>
      <c r="E606" s="14"/>
      <c r="F606" s="8"/>
      <c r="G606" s="2"/>
      <c r="H606" s="2"/>
    </row>
    <row r="607" customFormat="false" ht="15" hidden="false" customHeight="false" outlineLevel="0" collapsed="false">
      <c r="A607" s="11"/>
      <c r="B607" s="10"/>
      <c r="C607" s="8"/>
      <c r="D607" s="8"/>
      <c r="E607" s="14"/>
      <c r="F607" s="8"/>
      <c r="G607" s="2"/>
      <c r="H607" s="2"/>
    </row>
    <row r="608" customFormat="false" ht="15" hidden="false" customHeight="false" outlineLevel="0" collapsed="false">
      <c r="A608" s="11"/>
      <c r="B608" s="10"/>
      <c r="C608" s="8"/>
      <c r="D608" s="8"/>
      <c r="E608" s="14"/>
      <c r="F608" s="8"/>
      <c r="G608" s="2"/>
      <c r="H608" s="2"/>
    </row>
    <row r="609" customFormat="false" ht="15" hidden="false" customHeight="false" outlineLevel="0" collapsed="false">
      <c r="A609" s="11"/>
      <c r="B609" s="10"/>
      <c r="C609" s="8"/>
      <c r="D609" s="8"/>
      <c r="E609" s="14"/>
      <c r="F609" s="8"/>
      <c r="G609" s="2"/>
      <c r="H609" s="2"/>
    </row>
    <row r="610" customFormat="false" ht="15" hidden="false" customHeight="false" outlineLevel="0" collapsed="false">
      <c r="A610" s="11"/>
      <c r="B610" s="10"/>
      <c r="C610" s="8"/>
      <c r="D610" s="8"/>
      <c r="E610" s="14"/>
      <c r="F610" s="8"/>
      <c r="G610" s="2"/>
      <c r="H610" s="2"/>
    </row>
    <row r="611" customFormat="false" ht="15" hidden="false" customHeight="false" outlineLevel="0" collapsed="false">
      <c r="A611" s="11"/>
      <c r="B611" s="10"/>
      <c r="C611" s="8"/>
      <c r="D611" s="8"/>
      <c r="E611" s="14"/>
      <c r="F611" s="8"/>
      <c r="G611" s="2"/>
      <c r="H611" s="2"/>
    </row>
    <row r="612" customFormat="false" ht="15" hidden="false" customHeight="false" outlineLevel="0" collapsed="false">
      <c r="A612" s="11"/>
      <c r="B612" s="10"/>
      <c r="C612" s="8"/>
      <c r="D612" s="8"/>
      <c r="E612" s="14"/>
      <c r="F612" s="8"/>
      <c r="G612" s="2"/>
      <c r="H612" s="2"/>
    </row>
    <row r="613" customFormat="false" ht="15" hidden="false" customHeight="false" outlineLevel="0" collapsed="false">
      <c r="A613" s="11"/>
      <c r="B613" s="10"/>
      <c r="C613" s="8"/>
      <c r="D613" s="8"/>
      <c r="E613" s="14"/>
      <c r="F613" s="8"/>
      <c r="G613" s="2"/>
      <c r="H613" s="2"/>
    </row>
    <row r="614" customFormat="false" ht="15" hidden="false" customHeight="false" outlineLevel="0" collapsed="false">
      <c r="A614" s="11"/>
      <c r="B614" s="10"/>
      <c r="C614" s="8"/>
      <c r="D614" s="8"/>
      <c r="E614" s="14"/>
      <c r="F614" s="8"/>
      <c r="G614" s="2"/>
      <c r="H614" s="2"/>
    </row>
    <row r="615" customFormat="false" ht="15" hidden="false" customHeight="false" outlineLevel="0" collapsed="false">
      <c r="A615" s="11"/>
      <c r="B615" s="10"/>
      <c r="C615" s="8"/>
      <c r="D615" s="8"/>
      <c r="E615" s="14"/>
      <c r="F615" s="8"/>
      <c r="G615" s="2"/>
      <c r="H615" s="2"/>
    </row>
    <row r="616" customFormat="false" ht="15" hidden="false" customHeight="false" outlineLevel="0" collapsed="false">
      <c r="A616" s="11"/>
      <c r="B616" s="10"/>
      <c r="C616" s="8"/>
      <c r="D616" s="8"/>
      <c r="E616" s="14"/>
      <c r="F616" s="8"/>
      <c r="G616" s="2"/>
      <c r="H616" s="2"/>
    </row>
    <row r="617" customFormat="false" ht="15" hidden="false" customHeight="false" outlineLevel="0" collapsed="false">
      <c r="A617" s="11"/>
      <c r="B617" s="10"/>
      <c r="C617" s="8"/>
      <c r="D617" s="8"/>
      <c r="E617" s="14"/>
      <c r="F617" s="8"/>
      <c r="G617" s="2"/>
      <c r="H617" s="2"/>
    </row>
    <row r="618" customFormat="false" ht="15" hidden="false" customHeight="false" outlineLevel="0" collapsed="false">
      <c r="A618" s="11"/>
      <c r="B618" s="10"/>
      <c r="C618" s="8"/>
      <c r="D618" s="8"/>
      <c r="E618" s="14"/>
      <c r="F618" s="8"/>
      <c r="G618" s="2"/>
      <c r="H618" s="2"/>
    </row>
    <row r="619" customFormat="false" ht="15" hidden="false" customHeight="false" outlineLevel="0" collapsed="false">
      <c r="A619" s="11"/>
      <c r="B619" s="10"/>
      <c r="C619" s="8"/>
      <c r="D619" s="8"/>
      <c r="E619" s="14"/>
      <c r="F619" s="8"/>
      <c r="G619" s="2"/>
      <c r="H619" s="2"/>
    </row>
    <row r="620" customFormat="false" ht="15" hidden="false" customHeight="false" outlineLevel="0" collapsed="false">
      <c r="A620" s="11"/>
      <c r="B620" s="10"/>
      <c r="C620" s="8"/>
      <c r="D620" s="8"/>
      <c r="E620" s="14"/>
      <c r="F620" s="8"/>
      <c r="G620" s="2"/>
      <c r="H620" s="2"/>
    </row>
    <row r="621" customFormat="false" ht="15" hidden="false" customHeight="false" outlineLevel="0" collapsed="false">
      <c r="A621" s="11"/>
      <c r="B621" s="10"/>
      <c r="C621" s="8"/>
      <c r="D621" s="8"/>
      <c r="E621" s="14"/>
      <c r="F621" s="8"/>
      <c r="G621" s="2"/>
      <c r="H621" s="2"/>
    </row>
    <row r="622" customFormat="false" ht="15" hidden="false" customHeight="false" outlineLevel="0" collapsed="false">
      <c r="A622" s="11"/>
      <c r="B622" s="10"/>
      <c r="C622" s="8"/>
      <c r="D622" s="8"/>
      <c r="E622" s="14"/>
      <c r="F622" s="8"/>
      <c r="G622" s="2"/>
      <c r="H622" s="2"/>
    </row>
    <row r="623" customFormat="false" ht="15" hidden="false" customHeight="false" outlineLevel="0" collapsed="false">
      <c r="A623" s="11"/>
      <c r="B623" s="10"/>
      <c r="C623" s="8"/>
      <c r="D623" s="8"/>
      <c r="E623" s="14"/>
      <c r="F623" s="8"/>
      <c r="G623" s="2"/>
      <c r="H623" s="2"/>
    </row>
    <row r="624" customFormat="false" ht="15" hidden="false" customHeight="false" outlineLevel="0" collapsed="false">
      <c r="A624" s="11"/>
      <c r="B624" s="10"/>
      <c r="C624" s="8"/>
      <c r="D624" s="8"/>
      <c r="E624" s="14"/>
      <c r="F624" s="8"/>
      <c r="G624" s="2"/>
      <c r="H624" s="2"/>
    </row>
    <row r="625" customFormat="false" ht="15" hidden="false" customHeight="false" outlineLevel="0" collapsed="false">
      <c r="A625" s="11"/>
      <c r="B625" s="10"/>
      <c r="C625" s="8"/>
      <c r="D625" s="8"/>
      <c r="E625" s="14"/>
      <c r="F625" s="8"/>
      <c r="G625" s="2"/>
      <c r="H625" s="2"/>
    </row>
    <row r="626" customFormat="false" ht="15" hidden="false" customHeight="false" outlineLevel="0" collapsed="false">
      <c r="A626" s="11"/>
      <c r="B626" s="10"/>
      <c r="C626" s="8"/>
      <c r="D626" s="8"/>
      <c r="E626" s="14"/>
      <c r="F626" s="8"/>
      <c r="G626" s="2"/>
      <c r="H626" s="2"/>
    </row>
    <row r="627" customFormat="false" ht="15" hidden="false" customHeight="false" outlineLevel="0" collapsed="false">
      <c r="A627" s="11"/>
      <c r="B627" s="10"/>
      <c r="C627" s="8"/>
      <c r="D627" s="8"/>
      <c r="E627" s="14"/>
      <c r="F627" s="8"/>
      <c r="G627" s="2"/>
      <c r="H627" s="2"/>
    </row>
    <row r="628" customFormat="false" ht="15" hidden="false" customHeight="false" outlineLevel="0" collapsed="false">
      <c r="A628" s="11"/>
      <c r="B628" s="10"/>
      <c r="C628" s="8"/>
      <c r="D628" s="8"/>
      <c r="E628" s="14"/>
      <c r="F628" s="8"/>
      <c r="G628" s="2"/>
      <c r="H628" s="2"/>
    </row>
    <row r="629" customFormat="false" ht="15" hidden="false" customHeight="false" outlineLevel="0" collapsed="false">
      <c r="A629" s="11"/>
      <c r="B629" s="10"/>
      <c r="C629" s="8"/>
      <c r="D629" s="8"/>
      <c r="E629" s="14"/>
      <c r="F629" s="8"/>
      <c r="G629" s="2"/>
      <c r="H629" s="2"/>
    </row>
    <row r="630" customFormat="false" ht="15" hidden="false" customHeight="false" outlineLevel="0" collapsed="false">
      <c r="A630" s="11"/>
      <c r="B630" s="10"/>
      <c r="C630" s="8"/>
      <c r="D630" s="8"/>
      <c r="E630" s="14"/>
      <c r="F630" s="8"/>
      <c r="G630" s="2"/>
      <c r="H630" s="2"/>
    </row>
    <row r="631" customFormat="false" ht="15" hidden="false" customHeight="false" outlineLevel="0" collapsed="false">
      <c r="A631" s="11"/>
      <c r="B631" s="10"/>
      <c r="C631" s="8"/>
      <c r="D631" s="8"/>
      <c r="E631" s="14"/>
      <c r="F631" s="8"/>
      <c r="G631" s="2"/>
      <c r="H631" s="2"/>
    </row>
    <row r="632" customFormat="false" ht="15" hidden="false" customHeight="false" outlineLevel="0" collapsed="false">
      <c r="A632" s="11"/>
      <c r="B632" s="10"/>
      <c r="C632" s="8"/>
      <c r="D632" s="8"/>
      <c r="E632" s="14"/>
      <c r="F632" s="8"/>
      <c r="G632" s="2"/>
      <c r="H632" s="2"/>
    </row>
    <row r="633" customFormat="false" ht="15" hidden="false" customHeight="false" outlineLevel="0" collapsed="false">
      <c r="A633" s="11"/>
      <c r="B633" s="10"/>
      <c r="C633" s="8"/>
      <c r="D633" s="8"/>
      <c r="E633" s="14"/>
      <c r="F633" s="8"/>
      <c r="G633" s="2"/>
      <c r="H633" s="2"/>
    </row>
    <row r="634" customFormat="false" ht="15" hidden="false" customHeight="false" outlineLevel="0" collapsed="false">
      <c r="A634" s="11"/>
      <c r="B634" s="10"/>
      <c r="C634" s="8"/>
      <c r="D634" s="8"/>
      <c r="E634" s="14"/>
      <c r="F634" s="8"/>
      <c r="G634" s="2"/>
      <c r="H634" s="2"/>
    </row>
    <row r="635" customFormat="false" ht="15" hidden="false" customHeight="false" outlineLevel="0" collapsed="false">
      <c r="A635" s="11"/>
      <c r="B635" s="10"/>
      <c r="C635" s="8"/>
      <c r="D635" s="8"/>
      <c r="E635" s="14"/>
      <c r="F635" s="8"/>
      <c r="G635" s="2"/>
      <c r="H635" s="2"/>
    </row>
    <row r="636" customFormat="false" ht="15" hidden="false" customHeight="false" outlineLevel="0" collapsed="false">
      <c r="A636" s="11"/>
      <c r="B636" s="10"/>
      <c r="C636" s="8"/>
      <c r="D636" s="8"/>
      <c r="E636" s="14"/>
      <c r="F636" s="8"/>
      <c r="G636" s="2"/>
      <c r="H636" s="2"/>
    </row>
    <row r="637" customFormat="false" ht="15" hidden="false" customHeight="false" outlineLevel="0" collapsed="false">
      <c r="A637" s="11"/>
      <c r="B637" s="10"/>
      <c r="C637" s="8"/>
      <c r="D637" s="8"/>
      <c r="E637" s="14"/>
      <c r="F637" s="8"/>
      <c r="G637" s="2"/>
      <c r="H637" s="2"/>
    </row>
    <row r="638" customFormat="false" ht="15" hidden="false" customHeight="false" outlineLevel="0" collapsed="false">
      <c r="A638" s="11"/>
      <c r="B638" s="10"/>
      <c r="C638" s="8"/>
      <c r="D638" s="8"/>
      <c r="E638" s="14"/>
      <c r="F638" s="8"/>
      <c r="G638" s="2"/>
      <c r="H638" s="2"/>
    </row>
    <row r="639" customFormat="false" ht="15" hidden="false" customHeight="false" outlineLevel="0" collapsed="false">
      <c r="A639" s="11"/>
      <c r="B639" s="10"/>
      <c r="C639" s="8"/>
      <c r="D639" s="8"/>
      <c r="E639" s="14"/>
      <c r="F639" s="8"/>
      <c r="G639" s="2"/>
      <c r="H639" s="2"/>
    </row>
    <row r="640" customFormat="false" ht="15" hidden="false" customHeight="false" outlineLevel="0" collapsed="false">
      <c r="A640" s="11"/>
      <c r="B640" s="10"/>
      <c r="C640" s="8"/>
      <c r="D640" s="8"/>
      <c r="E640" s="14"/>
      <c r="F640" s="8"/>
      <c r="G640" s="2"/>
      <c r="H640" s="2"/>
    </row>
    <row r="641" customFormat="false" ht="15" hidden="false" customHeight="false" outlineLevel="0" collapsed="false">
      <c r="A641" s="11"/>
      <c r="B641" s="10"/>
      <c r="C641" s="8"/>
      <c r="D641" s="8"/>
      <c r="E641" s="14"/>
      <c r="F641" s="8"/>
      <c r="G641" s="2"/>
      <c r="H641" s="2"/>
    </row>
    <row r="642" customFormat="false" ht="15" hidden="false" customHeight="false" outlineLevel="0" collapsed="false">
      <c r="A642" s="11"/>
      <c r="B642" s="10"/>
      <c r="C642" s="8"/>
      <c r="D642" s="8"/>
      <c r="E642" s="14"/>
      <c r="F642" s="8"/>
      <c r="G642" s="2"/>
      <c r="H642" s="2"/>
    </row>
    <row r="643" customFormat="false" ht="15" hidden="false" customHeight="false" outlineLevel="0" collapsed="false">
      <c r="A643" s="11"/>
      <c r="B643" s="10"/>
      <c r="C643" s="8"/>
      <c r="D643" s="8"/>
      <c r="E643" s="14"/>
      <c r="F643" s="8"/>
      <c r="G643" s="2"/>
      <c r="H643" s="2"/>
    </row>
    <row r="644" customFormat="false" ht="15" hidden="false" customHeight="false" outlineLevel="0" collapsed="false">
      <c r="A644" s="11"/>
      <c r="B644" s="10"/>
      <c r="C644" s="8"/>
      <c r="D644" s="8"/>
      <c r="E644" s="14"/>
      <c r="F644" s="8"/>
      <c r="G644" s="2"/>
      <c r="H644" s="2"/>
    </row>
    <row r="645" customFormat="false" ht="15" hidden="false" customHeight="false" outlineLevel="0" collapsed="false">
      <c r="A645" s="11"/>
      <c r="B645" s="10"/>
      <c r="C645" s="8"/>
      <c r="D645" s="8"/>
      <c r="E645" s="14"/>
      <c r="F645" s="8"/>
      <c r="G645" s="2"/>
      <c r="H645" s="2"/>
    </row>
    <row r="646" customFormat="false" ht="15" hidden="false" customHeight="false" outlineLevel="0" collapsed="false">
      <c r="A646" s="11"/>
      <c r="B646" s="10"/>
      <c r="C646" s="8"/>
      <c r="D646" s="8"/>
      <c r="E646" s="14"/>
      <c r="F646" s="8"/>
      <c r="G646" s="2"/>
      <c r="H646" s="2"/>
    </row>
    <row r="647" customFormat="false" ht="15" hidden="false" customHeight="false" outlineLevel="0" collapsed="false">
      <c r="A647" s="11"/>
      <c r="B647" s="10"/>
      <c r="C647" s="8"/>
      <c r="D647" s="8"/>
      <c r="E647" s="14"/>
      <c r="F647" s="8"/>
      <c r="G647" s="2"/>
      <c r="H647" s="2"/>
    </row>
    <row r="648" customFormat="false" ht="15" hidden="false" customHeight="false" outlineLevel="0" collapsed="false">
      <c r="A648" s="11"/>
      <c r="B648" s="10"/>
      <c r="C648" s="8"/>
      <c r="D648" s="8"/>
      <c r="E648" s="14"/>
      <c r="F648" s="8"/>
      <c r="G648" s="2"/>
      <c r="H648" s="2"/>
    </row>
    <row r="649" customFormat="false" ht="15" hidden="false" customHeight="false" outlineLevel="0" collapsed="false">
      <c r="A649" s="11"/>
      <c r="B649" s="10"/>
      <c r="C649" s="8"/>
      <c r="D649" s="8"/>
      <c r="E649" s="14"/>
      <c r="F649" s="8"/>
      <c r="G649" s="2"/>
      <c r="H649" s="2"/>
    </row>
    <row r="650" customFormat="false" ht="15" hidden="false" customHeight="false" outlineLevel="0" collapsed="false">
      <c r="A650" s="11"/>
      <c r="B650" s="10"/>
      <c r="C650" s="8"/>
      <c r="D650" s="8"/>
      <c r="E650" s="14"/>
      <c r="F650" s="8"/>
      <c r="G650" s="2"/>
      <c r="H650" s="2"/>
    </row>
    <row r="651" customFormat="false" ht="15" hidden="false" customHeight="false" outlineLevel="0" collapsed="false">
      <c r="A651" s="11"/>
      <c r="B651" s="10"/>
      <c r="C651" s="8"/>
      <c r="D651" s="8"/>
      <c r="E651" s="14"/>
      <c r="F651" s="8"/>
      <c r="G651" s="2"/>
      <c r="H651" s="2"/>
    </row>
    <row r="652" customFormat="false" ht="15" hidden="false" customHeight="false" outlineLevel="0" collapsed="false">
      <c r="A652" s="11"/>
      <c r="B652" s="10"/>
      <c r="C652" s="8"/>
      <c r="D652" s="8"/>
      <c r="E652" s="14"/>
      <c r="F652" s="8"/>
      <c r="G652" s="2"/>
      <c r="H652" s="2"/>
    </row>
    <row r="653" customFormat="false" ht="15" hidden="false" customHeight="false" outlineLevel="0" collapsed="false">
      <c r="A653" s="11"/>
      <c r="B653" s="10"/>
      <c r="C653" s="8"/>
      <c r="D653" s="8"/>
      <c r="E653" s="14"/>
      <c r="F653" s="8"/>
      <c r="G653" s="2"/>
      <c r="H653" s="2"/>
    </row>
    <row r="654" customFormat="false" ht="15" hidden="false" customHeight="false" outlineLevel="0" collapsed="false">
      <c r="A654" s="11"/>
      <c r="B654" s="10"/>
      <c r="C654" s="8"/>
      <c r="D654" s="8"/>
      <c r="E654" s="14"/>
      <c r="F654" s="8"/>
      <c r="G654" s="2"/>
      <c r="H654" s="2"/>
    </row>
    <row r="655" customFormat="false" ht="15" hidden="false" customHeight="false" outlineLevel="0" collapsed="false">
      <c r="A655" s="11"/>
      <c r="B655" s="10"/>
      <c r="C655" s="8"/>
      <c r="D655" s="8"/>
      <c r="E655" s="14"/>
      <c r="F655" s="8"/>
      <c r="G655" s="2"/>
      <c r="H655" s="2"/>
    </row>
    <row r="656" customFormat="false" ht="15" hidden="false" customHeight="false" outlineLevel="0" collapsed="false">
      <c r="A656" s="11"/>
      <c r="B656" s="10"/>
      <c r="C656" s="8"/>
      <c r="D656" s="8"/>
      <c r="E656" s="14"/>
      <c r="F656" s="8"/>
      <c r="G656" s="2"/>
      <c r="H656" s="2"/>
    </row>
    <row r="657" customFormat="false" ht="15" hidden="false" customHeight="false" outlineLevel="0" collapsed="false">
      <c r="A657" s="11"/>
      <c r="B657" s="10"/>
      <c r="C657" s="8"/>
      <c r="D657" s="8"/>
      <c r="E657" s="14"/>
      <c r="F657" s="8"/>
      <c r="G657" s="2"/>
      <c r="H657" s="2"/>
    </row>
    <row r="658" customFormat="false" ht="15" hidden="false" customHeight="false" outlineLevel="0" collapsed="false">
      <c r="A658" s="11"/>
      <c r="B658" s="10"/>
      <c r="C658" s="8"/>
      <c r="D658" s="8"/>
      <c r="E658" s="14"/>
      <c r="F658" s="8"/>
      <c r="G658" s="2"/>
      <c r="H658" s="2"/>
    </row>
    <row r="659" customFormat="false" ht="15" hidden="false" customHeight="false" outlineLevel="0" collapsed="false">
      <c r="A659" s="11"/>
      <c r="B659" s="10"/>
      <c r="C659" s="8"/>
      <c r="D659" s="8"/>
      <c r="E659" s="14"/>
      <c r="F659" s="8"/>
      <c r="G659" s="2"/>
      <c r="H659" s="2"/>
    </row>
    <row r="660" customFormat="false" ht="15" hidden="false" customHeight="false" outlineLevel="0" collapsed="false">
      <c r="A660" s="11"/>
      <c r="B660" s="10"/>
      <c r="C660" s="8"/>
      <c r="D660" s="8"/>
      <c r="E660" s="14"/>
      <c r="F660" s="8"/>
      <c r="G660" s="2"/>
      <c r="H660" s="2"/>
    </row>
    <row r="661" customFormat="false" ht="15" hidden="false" customHeight="false" outlineLevel="0" collapsed="false">
      <c r="A661" s="11"/>
      <c r="B661" s="10"/>
      <c r="C661" s="8"/>
      <c r="D661" s="8"/>
      <c r="E661" s="14"/>
      <c r="F661" s="8"/>
      <c r="G661" s="2"/>
      <c r="H661" s="2"/>
    </row>
    <row r="662" customFormat="false" ht="15" hidden="false" customHeight="false" outlineLevel="0" collapsed="false">
      <c r="A662" s="11"/>
      <c r="B662" s="10"/>
      <c r="C662" s="8"/>
      <c r="D662" s="8"/>
      <c r="E662" s="14"/>
      <c r="F662" s="8"/>
      <c r="G662" s="2"/>
      <c r="H662" s="2"/>
    </row>
    <row r="663" customFormat="false" ht="15" hidden="false" customHeight="false" outlineLevel="0" collapsed="false">
      <c r="A663" s="11"/>
      <c r="B663" s="10"/>
      <c r="C663" s="8"/>
      <c r="D663" s="8"/>
      <c r="E663" s="14"/>
      <c r="F663" s="8"/>
      <c r="G663" s="2"/>
      <c r="H663" s="2"/>
    </row>
    <row r="664" customFormat="false" ht="15" hidden="false" customHeight="false" outlineLevel="0" collapsed="false">
      <c r="A664" s="11"/>
      <c r="B664" s="10"/>
      <c r="C664" s="8"/>
      <c r="D664" s="8"/>
      <c r="E664" s="14"/>
      <c r="F664" s="8"/>
      <c r="G664" s="2"/>
      <c r="H664" s="2"/>
    </row>
    <row r="665" customFormat="false" ht="15" hidden="false" customHeight="false" outlineLevel="0" collapsed="false">
      <c r="A665" s="11"/>
      <c r="B665" s="10"/>
      <c r="C665" s="8"/>
      <c r="D665" s="8"/>
      <c r="E665" s="14"/>
      <c r="F665" s="8"/>
      <c r="G665" s="2"/>
      <c r="H665" s="2"/>
    </row>
    <row r="666" customFormat="false" ht="15" hidden="false" customHeight="false" outlineLevel="0" collapsed="false">
      <c r="A666" s="11"/>
      <c r="B666" s="10"/>
      <c r="C666" s="8"/>
      <c r="D666" s="8"/>
      <c r="E666" s="14"/>
      <c r="F666" s="8"/>
      <c r="G666" s="2"/>
      <c r="H666" s="2"/>
    </row>
    <row r="667" customFormat="false" ht="15" hidden="false" customHeight="false" outlineLevel="0" collapsed="false">
      <c r="A667" s="11"/>
      <c r="B667" s="10"/>
      <c r="C667" s="8"/>
      <c r="D667" s="8"/>
      <c r="E667" s="14"/>
      <c r="F667" s="8"/>
      <c r="G667" s="2"/>
      <c r="H667" s="2"/>
    </row>
    <row r="668" customFormat="false" ht="15" hidden="false" customHeight="false" outlineLevel="0" collapsed="false">
      <c r="A668" s="11"/>
      <c r="B668" s="10"/>
      <c r="C668" s="8"/>
      <c r="D668" s="8"/>
      <c r="E668" s="14"/>
      <c r="F668" s="8"/>
      <c r="G668" s="2"/>
      <c r="H668" s="2"/>
    </row>
    <row r="669" customFormat="false" ht="15" hidden="false" customHeight="false" outlineLevel="0" collapsed="false">
      <c r="A669" s="11"/>
      <c r="B669" s="10"/>
      <c r="C669" s="8"/>
      <c r="D669" s="8"/>
      <c r="E669" s="14"/>
      <c r="F669" s="8"/>
      <c r="G669" s="2"/>
      <c r="H669" s="2"/>
    </row>
    <row r="670" customFormat="false" ht="15" hidden="false" customHeight="false" outlineLevel="0" collapsed="false">
      <c r="A670" s="11"/>
      <c r="B670" s="10"/>
      <c r="C670" s="8"/>
      <c r="D670" s="8"/>
      <c r="E670" s="14"/>
      <c r="F670" s="8"/>
      <c r="G670" s="2"/>
      <c r="H670" s="2"/>
    </row>
    <row r="671" customFormat="false" ht="15" hidden="false" customHeight="false" outlineLevel="0" collapsed="false">
      <c r="A671" s="11"/>
      <c r="B671" s="10"/>
      <c r="C671" s="8"/>
      <c r="D671" s="8"/>
      <c r="E671" s="14"/>
      <c r="F671" s="8"/>
      <c r="G671" s="2"/>
      <c r="H671" s="2"/>
    </row>
    <row r="672" customFormat="false" ht="15" hidden="false" customHeight="false" outlineLevel="0" collapsed="false">
      <c r="A672" s="11"/>
      <c r="B672" s="10"/>
      <c r="C672" s="8"/>
      <c r="D672" s="8"/>
      <c r="E672" s="14"/>
      <c r="F672" s="8"/>
      <c r="G672" s="2"/>
      <c r="H672" s="2"/>
    </row>
    <row r="673" customFormat="false" ht="15" hidden="false" customHeight="false" outlineLevel="0" collapsed="false">
      <c r="A673" s="11"/>
      <c r="B673" s="10"/>
      <c r="C673" s="8"/>
      <c r="D673" s="8"/>
      <c r="E673" s="14"/>
      <c r="F673" s="8"/>
      <c r="G673" s="2"/>
      <c r="H673" s="2"/>
    </row>
    <row r="674" customFormat="false" ht="15" hidden="false" customHeight="false" outlineLevel="0" collapsed="false">
      <c r="A674" s="11"/>
      <c r="B674" s="10"/>
      <c r="C674" s="8"/>
      <c r="D674" s="8"/>
      <c r="E674" s="14"/>
      <c r="F674" s="8"/>
      <c r="G674" s="2"/>
      <c r="H674" s="2"/>
    </row>
    <row r="675" customFormat="false" ht="15" hidden="false" customHeight="false" outlineLevel="0" collapsed="false">
      <c r="A675" s="11"/>
      <c r="B675" s="10"/>
      <c r="C675" s="8"/>
      <c r="D675" s="8"/>
      <c r="E675" s="14"/>
      <c r="F675" s="8"/>
      <c r="G675" s="2"/>
      <c r="H675" s="2"/>
    </row>
    <row r="676" customFormat="false" ht="15" hidden="false" customHeight="false" outlineLevel="0" collapsed="false">
      <c r="A676" s="11"/>
      <c r="B676" s="10"/>
      <c r="C676" s="8"/>
      <c r="D676" s="8"/>
      <c r="E676" s="14"/>
      <c r="F676" s="8"/>
      <c r="G676" s="2"/>
      <c r="H676" s="2"/>
    </row>
    <row r="677" customFormat="false" ht="15" hidden="false" customHeight="false" outlineLevel="0" collapsed="false">
      <c r="A677" s="11"/>
      <c r="B677" s="10"/>
      <c r="C677" s="8"/>
      <c r="D677" s="8"/>
      <c r="E677" s="14"/>
      <c r="F677" s="8"/>
      <c r="G677" s="2"/>
      <c r="H677" s="2"/>
    </row>
    <row r="678" customFormat="false" ht="15" hidden="false" customHeight="false" outlineLevel="0" collapsed="false">
      <c r="A678" s="11"/>
      <c r="B678" s="10"/>
      <c r="C678" s="8"/>
      <c r="D678" s="8"/>
      <c r="E678" s="14"/>
      <c r="F678" s="8"/>
      <c r="G678" s="2"/>
      <c r="H678" s="2"/>
    </row>
    <row r="679" customFormat="false" ht="15" hidden="false" customHeight="false" outlineLevel="0" collapsed="false">
      <c r="A679" s="11"/>
      <c r="B679" s="10"/>
      <c r="C679" s="8"/>
      <c r="D679" s="8"/>
      <c r="E679" s="14"/>
      <c r="F679" s="8"/>
      <c r="G679" s="2"/>
      <c r="H679" s="2"/>
    </row>
    <row r="680" customFormat="false" ht="15" hidden="false" customHeight="false" outlineLevel="0" collapsed="false">
      <c r="A680" s="11"/>
      <c r="B680" s="10"/>
      <c r="C680" s="8"/>
      <c r="D680" s="8"/>
      <c r="E680" s="14"/>
      <c r="F680" s="8"/>
      <c r="G680" s="2"/>
      <c r="H680" s="2"/>
    </row>
    <row r="681" customFormat="false" ht="15" hidden="false" customHeight="false" outlineLevel="0" collapsed="false">
      <c r="A681" s="11"/>
      <c r="B681" s="10"/>
      <c r="C681" s="8"/>
      <c r="D681" s="8"/>
      <c r="E681" s="14"/>
      <c r="F681" s="8"/>
      <c r="G681" s="2"/>
      <c r="H681" s="2"/>
    </row>
    <row r="682" customFormat="false" ht="15" hidden="false" customHeight="false" outlineLevel="0" collapsed="false">
      <c r="A682" s="11"/>
      <c r="B682" s="10"/>
      <c r="C682" s="8"/>
      <c r="D682" s="8"/>
      <c r="E682" s="14"/>
      <c r="F682" s="8"/>
      <c r="G682" s="2"/>
      <c r="H682" s="2"/>
    </row>
    <row r="683" customFormat="false" ht="15" hidden="false" customHeight="false" outlineLevel="0" collapsed="false">
      <c r="A683" s="11"/>
      <c r="B683" s="10"/>
      <c r="C683" s="8"/>
      <c r="D683" s="8"/>
      <c r="E683" s="14"/>
      <c r="F683" s="8"/>
      <c r="G683" s="2"/>
      <c r="H683" s="2"/>
    </row>
    <row r="684" customFormat="false" ht="15" hidden="false" customHeight="false" outlineLevel="0" collapsed="false">
      <c r="A684" s="11"/>
      <c r="B684" s="10"/>
      <c r="C684" s="8"/>
      <c r="D684" s="8"/>
      <c r="E684" s="14"/>
      <c r="F684" s="8"/>
      <c r="G684" s="2"/>
      <c r="H684" s="2"/>
    </row>
    <row r="685" customFormat="false" ht="15" hidden="false" customHeight="false" outlineLevel="0" collapsed="false">
      <c r="A685" s="11"/>
      <c r="B685" s="10"/>
      <c r="C685" s="8"/>
      <c r="D685" s="8"/>
      <c r="E685" s="14"/>
      <c r="F685" s="8"/>
      <c r="G685" s="2"/>
      <c r="H685" s="2"/>
    </row>
    <row r="686" customFormat="false" ht="15" hidden="false" customHeight="false" outlineLevel="0" collapsed="false">
      <c r="A686" s="11"/>
      <c r="B686" s="10"/>
      <c r="C686" s="8"/>
      <c r="D686" s="8"/>
      <c r="E686" s="14"/>
      <c r="F686" s="8"/>
      <c r="G686" s="2"/>
      <c r="H686" s="2"/>
    </row>
    <row r="687" customFormat="false" ht="15" hidden="false" customHeight="false" outlineLevel="0" collapsed="false">
      <c r="A687" s="11"/>
      <c r="B687" s="10"/>
      <c r="C687" s="8"/>
      <c r="D687" s="8"/>
      <c r="E687" s="14"/>
      <c r="F687" s="8"/>
      <c r="G687" s="2"/>
      <c r="H687" s="2"/>
    </row>
    <row r="688" customFormat="false" ht="15" hidden="false" customHeight="false" outlineLevel="0" collapsed="false">
      <c r="A688" s="11"/>
      <c r="B688" s="10"/>
      <c r="C688" s="8"/>
      <c r="D688" s="8"/>
      <c r="E688" s="14"/>
      <c r="F688" s="8"/>
      <c r="G688" s="2"/>
      <c r="H688" s="2"/>
    </row>
    <row r="689" customFormat="false" ht="15" hidden="false" customHeight="false" outlineLevel="0" collapsed="false">
      <c r="A689" s="11"/>
      <c r="B689" s="10"/>
      <c r="C689" s="8"/>
      <c r="D689" s="8"/>
      <c r="E689" s="14"/>
      <c r="F689" s="8"/>
      <c r="G689" s="2"/>
      <c r="H689" s="2"/>
    </row>
    <row r="690" customFormat="false" ht="15" hidden="false" customHeight="false" outlineLevel="0" collapsed="false">
      <c r="A690" s="11"/>
      <c r="B690" s="10"/>
      <c r="C690" s="8"/>
      <c r="D690" s="8"/>
      <c r="E690" s="14"/>
      <c r="F690" s="8"/>
      <c r="G690" s="2"/>
      <c r="H690" s="2"/>
    </row>
    <row r="691" customFormat="false" ht="15" hidden="false" customHeight="false" outlineLevel="0" collapsed="false">
      <c r="A691" s="11"/>
      <c r="B691" s="10"/>
      <c r="C691" s="8"/>
      <c r="D691" s="8"/>
      <c r="E691" s="14"/>
      <c r="F691" s="8"/>
      <c r="G691" s="2"/>
      <c r="H691" s="2"/>
    </row>
    <row r="692" customFormat="false" ht="15" hidden="false" customHeight="false" outlineLevel="0" collapsed="false">
      <c r="A692" s="11"/>
      <c r="B692" s="10"/>
      <c r="C692" s="8"/>
      <c r="D692" s="8"/>
      <c r="E692" s="14"/>
      <c r="F692" s="8"/>
      <c r="G692" s="2"/>
      <c r="H692" s="2"/>
    </row>
    <row r="693" customFormat="false" ht="15" hidden="false" customHeight="false" outlineLevel="0" collapsed="false">
      <c r="A693" s="11"/>
      <c r="B693" s="10"/>
      <c r="C693" s="8"/>
      <c r="D693" s="8"/>
      <c r="E693" s="14"/>
      <c r="F693" s="8"/>
      <c r="G693" s="2"/>
      <c r="H693" s="2"/>
    </row>
    <row r="694" customFormat="false" ht="15" hidden="false" customHeight="false" outlineLevel="0" collapsed="false">
      <c r="A694" s="11"/>
      <c r="B694" s="10"/>
      <c r="C694" s="8"/>
      <c r="D694" s="8"/>
      <c r="E694" s="14"/>
      <c r="F694" s="8"/>
      <c r="G694" s="2"/>
      <c r="H694" s="2"/>
    </row>
    <row r="695" customFormat="false" ht="15" hidden="false" customHeight="false" outlineLevel="0" collapsed="false">
      <c r="A695" s="11"/>
      <c r="B695" s="10"/>
      <c r="C695" s="8"/>
      <c r="D695" s="8"/>
      <c r="E695" s="14"/>
      <c r="F695" s="8"/>
      <c r="G695" s="2"/>
      <c r="H695" s="2"/>
    </row>
    <row r="696" customFormat="false" ht="15" hidden="false" customHeight="false" outlineLevel="0" collapsed="false">
      <c r="A696" s="11"/>
      <c r="B696" s="10"/>
      <c r="C696" s="8"/>
      <c r="D696" s="8"/>
      <c r="E696" s="14"/>
      <c r="F696" s="8"/>
      <c r="G696" s="2"/>
      <c r="H696" s="2"/>
    </row>
    <row r="697" customFormat="false" ht="15" hidden="false" customHeight="false" outlineLevel="0" collapsed="false">
      <c r="A697" s="11"/>
      <c r="B697" s="10"/>
      <c r="C697" s="8"/>
      <c r="D697" s="8"/>
      <c r="E697" s="14"/>
      <c r="F697" s="8"/>
      <c r="G697" s="2"/>
      <c r="H697" s="2"/>
    </row>
    <row r="698" customFormat="false" ht="15" hidden="false" customHeight="false" outlineLevel="0" collapsed="false">
      <c r="A698" s="11"/>
      <c r="B698" s="10"/>
      <c r="C698" s="8"/>
      <c r="D698" s="8"/>
      <c r="E698" s="14"/>
      <c r="F698" s="8"/>
      <c r="G698" s="2"/>
      <c r="H698" s="2"/>
    </row>
    <row r="699" customFormat="false" ht="15" hidden="false" customHeight="false" outlineLevel="0" collapsed="false">
      <c r="A699" s="11"/>
      <c r="B699" s="10"/>
      <c r="C699" s="8"/>
      <c r="D699" s="8"/>
      <c r="E699" s="14"/>
      <c r="F699" s="8"/>
      <c r="G699" s="2"/>
      <c r="H699" s="2"/>
    </row>
    <row r="700" customFormat="false" ht="15" hidden="false" customHeight="false" outlineLevel="0" collapsed="false">
      <c r="A700" s="11"/>
      <c r="B700" s="10"/>
      <c r="C700" s="8"/>
      <c r="D700" s="8"/>
      <c r="E700" s="14"/>
      <c r="F700" s="8"/>
      <c r="G700" s="2"/>
      <c r="H700" s="2"/>
    </row>
    <row r="701" customFormat="false" ht="15" hidden="false" customHeight="false" outlineLevel="0" collapsed="false">
      <c r="A701" s="11"/>
      <c r="B701" s="10"/>
      <c r="C701" s="8"/>
      <c r="D701" s="8"/>
      <c r="E701" s="14"/>
      <c r="F701" s="8"/>
      <c r="G701" s="2"/>
      <c r="H701" s="2"/>
    </row>
    <row r="702" customFormat="false" ht="15" hidden="false" customHeight="false" outlineLevel="0" collapsed="false">
      <c r="A702" s="11"/>
      <c r="B702" s="10"/>
      <c r="C702" s="8"/>
      <c r="D702" s="8"/>
      <c r="E702" s="14"/>
      <c r="F702" s="8"/>
      <c r="G702" s="2"/>
      <c r="H702" s="2"/>
    </row>
    <row r="703" customFormat="false" ht="15" hidden="false" customHeight="false" outlineLevel="0" collapsed="false">
      <c r="A703" s="11"/>
      <c r="B703" s="10"/>
      <c r="C703" s="8"/>
      <c r="D703" s="8"/>
      <c r="E703" s="14"/>
      <c r="F703" s="8"/>
      <c r="G703" s="2"/>
      <c r="H703" s="2"/>
    </row>
    <row r="704" customFormat="false" ht="15" hidden="false" customHeight="false" outlineLevel="0" collapsed="false">
      <c r="A704" s="11"/>
      <c r="B704" s="10"/>
      <c r="C704" s="8"/>
      <c r="D704" s="8"/>
      <c r="E704" s="14"/>
      <c r="F704" s="8"/>
      <c r="G704" s="2"/>
      <c r="H704" s="2"/>
    </row>
    <row r="705" customFormat="false" ht="15" hidden="false" customHeight="false" outlineLevel="0" collapsed="false">
      <c r="A705" s="11"/>
      <c r="B705" s="10"/>
      <c r="C705" s="8"/>
      <c r="D705" s="8"/>
      <c r="E705" s="14"/>
      <c r="F705" s="8"/>
      <c r="G705" s="2"/>
      <c r="H705" s="2"/>
    </row>
    <row r="706" customFormat="false" ht="15" hidden="false" customHeight="false" outlineLevel="0" collapsed="false">
      <c r="A706" s="11"/>
      <c r="B706" s="10"/>
      <c r="C706" s="8"/>
      <c r="D706" s="8"/>
      <c r="E706" s="14"/>
      <c r="F706" s="8"/>
      <c r="G706" s="2"/>
      <c r="H706" s="2"/>
    </row>
    <row r="707" customFormat="false" ht="15" hidden="false" customHeight="false" outlineLevel="0" collapsed="false">
      <c r="A707" s="11"/>
      <c r="B707" s="10"/>
      <c r="C707" s="8"/>
      <c r="D707" s="8"/>
      <c r="E707" s="14"/>
      <c r="F707" s="8"/>
      <c r="G707" s="2"/>
      <c r="H707" s="2"/>
    </row>
    <row r="708" customFormat="false" ht="15" hidden="false" customHeight="false" outlineLevel="0" collapsed="false">
      <c r="A708" s="11"/>
      <c r="B708" s="10"/>
      <c r="C708" s="8"/>
      <c r="D708" s="8"/>
      <c r="E708" s="14"/>
      <c r="F708" s="8"/>
      <c r="G708" s="2"/>
      <c r="H708" s="2"/>
    </row>
    <row r="709" customFormat="false" ht="15" hidden="false" customHeight="false" outlineLevel="0" collapsed="false">
      <c r="A709" s="11"/>
      <c r="B709" s="10"/>
      <c r="C709" s="8"/>
      <c r="D709" s="8"/>
      <c r="E709" s="14"/>
      <c r="F709" s="8"/>
      <c r="G709" s="2"/>
      <c r="H709" s="2"/>
    </row>
    <row r="710" customFormat="false" ht="15" hidden="false" customHeight="false" outlineLevel="0" collapsed="false">
      <c r="A710" s="11"/>
      <c r="B710" s="10"/>
      <c r="C710" s="8"/>
      <c r="D710" s="8"/>
      <c r="E710" s="14"/>
      <c r="F710" s="8"/>
      <c r="G710" s="2"/>
      <c r="H710" s="2"/>
    </row>
    <row r="711" customFormat="false" ht="15" hidden="false" customHeight="false" outlineLevel="0" collapsed="false">
      <c r="A711" s="11"/>
      <c r="B711" s="10"/>
      <c r="C711" s="8"/>
      <c r="D711" s="8"/>
      <c r="E711" s="14"/>
      <c r="F711" s="8"/>
      <c r="G711" s="2"/>
      <c r="H711" s="2"/>
    </row>
    <row r="712" customFormat="false" ht="15" hidden="false" customHeight="false" outlineLevel="0" collapsed="false">
      <c r="A712" s="11"/>
      <c r="B712" s="10"/>
      <c r="C712" s="8"/>
      <c r="D712" s="8"/>
      <c r="E712" s="14"/>
      <c r="F712" s="8"/>
      <c r="G712" s="2"/>
      <c r="H712" s="2"/>
    </row>
    <row r="713" customFormat="false" ht="15" hidden="false" customHeight="false" outlineLevel="0" collapsed="false">
      <c r="A713" s="11"/>
      <c r="B713" s="10"/>
      <c r="C713" s="8"/>
      <c r="D713" s="8"/>
      <c r="E713" s="14"/>
      <c r="F713" s="8"/>
      <c r="G713" s="2"/>
      <c r="H713" s="2"/>
    </row>
    <row r="714" customFormat="false" ht="15" hidden="false" customHeight="false" outlineLevel="0" collapsed="false">
      <c r="A714" s="11"/>
      <c r="B714" s="10"/>
      <c r="C714" s="8"/>
      <c r="D714" s="8"/>
      <c r="E714" s="14"/>
      <c r="F714" s="8"/>
      <c r="G714" s="2"/>
      <c r="H714" s="2"/>
    </row>
    <row r="715" customFormat="false" ht="15" hidden="false" customHeight="false" outlineLevel="0" collapsed="false">
      <c r="A715" s="11"/>
      <c r="B715" s="10"/>
      <c r="C715" s="8"/>
      <c r="D715" s="8"/>
      <c r="E715" s="14"/>
      <c r="F715" s="8"/>
      <c r="G715" s="2"/>
      <c r="H715" s="2"/>
    </row>
    <row r="716" customFormat="false" ht="15" hidden="false" customHeight="false" outlineLevel="0" collapsed="false">
      <c r="A716" s="11"/>
      <c r="B716" s="10"/>
      <c r="C716" s="8"/>
      <c r="D716" s="8"/>
      <c r="E716" s="14"/>
      <c r="F716" s="8"/>
      <c r="G716" s="2"/>
      <c r="H716" s="2"/>
    </row>
    <row r="717" customFormat="false" ht="15" hidden="false" customHeight="false" outlineLevel="0" collapsed="false">
      <c r="A717" s="11"/>
      <c r="B717" s="10"/>
      <c r="C717" s="8"/>
      <c r="D717" s="8"/>
      <c r="E717" s="14"/>
      <c r="F717" s="8"/>
      <c r="G717" s="2"/>
      <c r="H717" s="2"/>
    </row>
    <row r="718" customFormat="false" ht="15" hidden="false" customHeight="false" outlineLevel="0" collapsed="false">
      <c r="A718" s="11"/>
      <c r="B718" s="10"/>
      <c r="C718" s="8"/>
      <c r="D718" s="8"/>
      <c r="E718" s="14"/>
      <c r="F718" s="8"/>
      <c r="G718" s="2"/>
      <c r="H718" s="2"/>
    </row>
    <row r="719" customFormat="false" ht="15" hidden="false" customHeight="false" outlineLevel="0" collapsed="false">
      <c r="A719" s="11"/>
      <c r="B719" s="10"/>
      <c r="C719" s="8"/>
      <c r="D719" s="8"/>
      <c r="E719" s="14"/>
      <c r="F719" s="8"/>
      <c r="G719" s="2"/>
      <c r="H719" s="2"/>
    </row>
    <row r="720" customFormat="false" ht="15" hidden="false" customHeight="false" outlineLevel="0" collapsed="false">
      <c r="A720" s="11"/>
      <c r="B720" s="10"/>
      <c r="C720" s="8"/>
      <c r="D720" s="8"/>
      <c r="E720" s="14"/>
      <c r="F720" s="8"/>
      <c r="G720" s="2"/>
      <c r="H720" s="2"/>
    </row>
    <row r="721" customFormat="false" ht="15" hidden="false" customHeight="false" outlineLevel="0" collapsed="false">
      <c r="A721" s="11"/>
      <c r="B721" s="10"/>
      <c r="C721" s="8"/>
      <c r="D721" s="8"/>
      <c r="E721" s="14"/>
      <c r="F721" s="8"/>
      <c r="G721" s="2"/>
      <c r="H721" s="2"/>
    </row>
    <row r="722" customFormat="false" ht="15" hidden="false" customHeight="false" outlineLevel="0" collapsed="false">
      <c r="A722" s="11"/>
      <c r="B722" s="10"/>
      <c r="C722" s="8"/>
      <c r="D722" s="8"/>
      <c r="E722" s="14"/>
      <c r="F722" s="8"/>
      <c r="G722" s="2"/>
      <c r="H722" s="2"/>
    </row>
    <row r="723" customFormat="false" ht="15" hidden="false" customHeight="false" outlineLevel="0" collapsed="false">
      <c r="A723" s="11"/>
      <c r="B723" s="10"/>
      <c r="C723" s="8"/>
      <c r="D723" s="8"/>
      <c r="E723" s="14"/>
      <c r="F723" s="8"/>
      <c r="G723" s="2"/>
      <c r="H723" s="2"/>
    </row>
    <row r="724" customFormat="false" ht="15" hidden="false" customHeight="false" outlineLevel="0" collapsed="false">
      <c r="A724" s="11"/>
      <c r="B724" s="10"/>
      <c r="C724" s="8"/>
      <c r="D724" s="8"/>
      <c r="E724" s="14"/>
      <c r="F724" s="8"/>
      <c r="G724" s="2"/>
      <c r="H724" s="2"/>
    </row>
    <row r="725" customFormat="false" ht="15" hidden="false" customHeight="false" outlineLevel="0" collapsed="false">
      <c r="A725" s="11"/>
      <c r="B725" s="10"/>
      <c r="C725" s="8"/>
      <c r="D725" s="8"/>
      <c r="E725" s="14"/>
      <c r="F725" s="8"/>
      <c r="G725" s="2"/>
      <c r="H725" s="2"/>
    </row>
    <row r="726" customFormat="false" ht="15" hidden="false" customHeight="false" outlineLevel="0" collapsed="false">
      <c r="A726" s="11"/>
      <c r="B726" s="10"/>
      <c r="C726" s="8"/>
      <c r="D726" s="8"/>
      <c r="E726" s="14"/>
      <c r="F726" s="8"/>
      <c r="G726" s="2"/>
      <c r="H726" s="2"/>
    </row>
    <row r="727" customFormat="false" ht="15" hidden="false" customHeight="false" outlineLevel="0" collapsed="false">
      <c r="A727" s="11"/>
      <c r="B727" s="10"/>
      <c r="C727" s="8"/>
      <c r="D727" s="8"/>
      <c r="E727" s="14"/>
      <c r="F727" s="8"/>
      <c r="G727" s="2"/>
      <c r="H727" s="2"/>
    </row>
    <row r="728" customFormat="false" ht="15" hidden="false" customHeight="false" outlineLevel="0" collapsed="false">
      <c r="A728" s="11"/>
      <c r="B728" s="10"/>
      <c r="C728" s="8"/>
      <c r="D728" s="8"/>
      <c r="E728" s="14"/>
      <c r="F728" s="8"/>
      <c r="G728" s="2"/>
      <c r="H728" s="2"/>
    </row>
    <row r="729" customFormat="false" ht="15" hidden="false" customHeight="false" outlineLevel="0" collapsed="false">
      <c r="A729" s="11"/>
      <c r="B729" s="10"/>
      <c r="C729" s="8"/>
      <c r="D729" s="8"/>
      <c r="E729" s="14"/>
      <c r="F729" s="8"/>
      <c r="G729" s="2"/>
      <c r="H729" s="2"/>
    </row>
    <row r="730" customFormat="false" ht="15" hidden="false" customHeight="false" outlineLevel="0" collapsed="false">
      <c r="A730" s="11"/>
      <c r="B730" s="10"/>
      <c r="C730" s="8"/>
      <c r="D730" s="8"/>
      <c r="E730" s="14"/>
      <c r="F730" s="8"/>
      <c r="G730" s="2"/>
      <c r="H730" s="2"/>
    </row>
    <row r="731" customFormat="false" ht="15" hidden="false" customHeight="false" outlineLevel="0" collapsed="false">
      <c r="A731" s="11"/>
      <c r="B731" s="10"/>
      <c r="C731" s="8"/>
      <c r="D731" s="8"/>
      <c r="E731" s="14"/>
      <c r="F731" s="8"/>
      <c r="G731" s="2"/>
      <c r="H731" s="2"/>
    </row>
    <row r="732" customFormat="false" ht="15" hidden="false" customHeight="false" outlineLevel="0" collapsed="false">
      <c r="A732" s="11"/>
      <c r="B732" s="10"/>
      <c r="C732" s="8"/>
      <c r="D732" s="8"/>
      <c r="E732" s="14"/>
      <c r="F732" s="8"/>
      <c r="G732" s="2"/>
      <c r="H732" s="2"/>
    </row>
    <row r="733" customFormat="false" ht="15" hidden="false" customHeight="false" outlineLevel="0" collapsed="false">
      <c r="A733" s="11"/>
      <c r="B733" s="10"/>
      <c r="C733" s="8"/>
      <c r="D733" s="8"/>
      <c r="E733" s="14"/>
      <c r="F733" s="8"/>
      <c r="G733" s="2"/>
      <c r="H733" s="2"/>
    </row>
    <row r="734" customFormat="false" ht="15" hidden="false" customHeight="false" outlineLevel="0" collapsed="false">
      <c r="A734" s="11"/>
      <c r="B734" s="10"/>
      <c r="C734" s="8"/>
      <c r="D734" s="8"/>
      <c r="E734" s="14"/>
      <c r="F734" s="8"/>
      <c r="G734" s="2"/>
      <c r="H734" s="2"/>
    </row>
    <row r="735" customFormat="false" ht="15" hidden="false" customHeight="false" outlineLevel="0" collapsed="false">
      <c r="A735" s="11"/>
      <c r="B735" s="10"/>
      <c r="C735" s="8"/>
      <c r="D735" s="8"/>
      <c r="E735" s="14"/>
      <c r="F735" s="8"/>
      <c r="G735" s="2"/>
      <c r="H735" s="2"/>
    </row>
    <row r="736" customFormat="false" ht="15" hidden="false" customHeight="false" outlineLevel="0" collapsed="false">
      <c r="A736" s="11"/>
      <c r="B736" s="10"/>
      <c r="C736" s="8"/>
      <c r="D736" s="8"/>
      <c r="E736" s="14"/>
      <c r="F736" s="8"/>
      <c r="G736" s="2"/>
      <c r="H736" s="2"/>
    </row>
    <row r="737" customFormat="false" ht="15" hidden="false" customHeight="false" outlineLevel="0" collapsed="false">
      <c r="A737" s="11"/>
      <c r="B737" s="10"/>
      <c r="C737" s="8"/>
      <c r="D737" s="8"/>
      <c r="E737" s="14"/>
      <c r="F737" s="8"/>
      <c r="G737" s="2"/>
      <c r="H737" s="2"/>
    </row>
    <row r="738" customFormat="false" ht="15" hidden="false" customHeight="false" outlineLevel="0" collapsed="false">
      <c r="A738" s="11"/>
      <c r="B738" s="10"/>
      <c r="C738" s="8"/>
      <c r="D738" s="8"/>
      <c r="E738" s="14"/>
      <c r="F738" s="8"/>
      <c r="G738" s="2"/>
      <c r="H738" s="2"/>
    </row>
    <row r="739" customFormat="false" ht="15" hidden="false" customHeight="false" outlineLevel="0" collapsed="false">
      <c r="A739" s="11"/>
      <c r="B739" s="10"/>
      <c r="C739" s="8"/>
      <c r="D739" s="8"/>
      <c r="E739" s="14"/>
      <c r="F739" s="8"/>
      <c r="G739" s="2"/>
      <c r="H739" s="2"/>
    </row>
    <row r="740" customFormat="false" ht="15" hidden="false" customHeight="false" outlineLevel="0" collapsed="false">
      <c r="A740" s="11"/>
      <c r="B740" s="10"/>
      <c r="C740" s="8"/>
      <c r="D740" s="8"/>
      <c r="E740" s="14"/>
      <c r="F740" s="8"/>
      <c r="G740" s="2"/>
      <c r="H740" s="2"/>
    </row>
    <row r="741" customFormat="false" ht="15" hidden="false" customHeight="false" outlineLevel="0" collapsed="false">
      <c r="A741" s="11"/>
      <c r="B741" s="10"/>
      <c r="C741" s="8"/>
      <c r="D741" s="8"/>
      <c r="E741" s="14"/>
      <c r="F741" s="8"/>
      <c r="G741" s="2"/>
      <c r="H741" s="2"/>
    </row>
    <row r="742" customFormat="false" ht="15" hidden="false" customHeight="false" outlineLevel="0" collapsed="false">
      <c r="A742" s="11"/>
      <c r="B742" s="10"/>
      <c r="C742" s="8"/>
      <c r="D742" s="8"/>
      <c r="E742" s="14"/>
      <c r="F742" s="8"/>
      <c r="G742" s="2"/>
      <c r="H742" s="2"/>
    </row>
    <row r="743" customFormat="false" ht="15" hidden="false" customHeight="false" outlineLevel="0" collapsed="false">
      <c r="A743" s="11"/>
      <c r="B743" s="10"/>
      <c r="C743" s="8"/>
      <c r="D743" s="8"/>
      <c r="E743" s="14"/>
      <c r="F743" s="8"/>
      <c r="G743" s="2"/>
      <c r="H743" s="2"/>
    </row>
    <row r="744" customFormat="false" ht="15" hidden="false" customHeight="false" outlineLevel="0" collapsed="false">
      <c r="A744" s="11"/>
      <c r="B744" s="10"/>
      <c r="C744" s="8"/>
      <c r="D744" s="8"/>
      <c r="E744" s="14"/>
      <c r="F744" s="8"/>
      <c r="G744" s="2"/>
      <c r="H744" s="2"/>
    </row>
    <row r="745" customFormat="false" ht="15" hidden="false" customHeight="false" outlineLevel="0" collapsed="false">
      <c r="A745" s="11"/>
      <c r="B745" s="10"/>
      <c r="C745" s="8"/>
      <c r="D745" s="8"/>
      <c r="E745" s="14"/>
      <c r="F745" s="8"/>
      <c r="G745" s="2"/>
      <c r="H745" s="2"/>
    </row>
    <row r="746" customFormat="false" ht="15" hidden="false" customHeight="false" outlineLevel="0" collapsed="false">
      <c r="A746" s="11"/>
      <c r="B746" s="10"/>
      <c r="C746" s="8"/>
      <c r="D746" s="8"/>
      <c r="E746" s="14"/>
      <c r="F746" s="8"/>
      <c r="G746" s="2"/>
      <c r="H746" s="2"/>
    </row>
    <row r="747" customFormat="false" ht="15" hidden="false" customHeight="false" outlineLevel="0" collapsed="false">
      <c r="A747" s="11"/>
      <c r="B747" s="10"/>
      <c r="C747" s="8"/>
      <c r="D747" s="8"/>
      <c r="E747" s="14"/>
      <c r="F747" s="8"/>
      <c r="G747" s="2"/>
      <c r="H747" s="2"/>
    </row>
    <row r="748" customFormat="false" ht="15" hidden="false" customHeight="false" outlineLevel="0" collapsed="false">
      <c r="A748" s="11"/>
      <c r="B748" s="10"/>
      <c r="C748" s="8"/>
      <c r="D748" s="8"/>
      <c r="E748" s="14"/>
      <c r="F748" s="8"/>
      <c r="G748" s="2"/>
      <c r="H748" s="2"/>
    </row>
    <row r="749" customFormat="false" ht="15" hidden="false" customHeight="false" outlineLevel="0" collapsed="false">
      <c r="A749" s="11"/>
      <c r="B749" s="10"/>
      <c r="C749" s="8"/>
      <c r="D749" s="8"/>
      <c r="E749" s="14"/>
      <c r="F749" s="8"/>
      <c r="G749" s="2"/>
      <c r="H749" s="2"/>
    </row>
    <row r="750" customFormat="false" ht="15" hidden="false" customHeight="false" outlineLevel="0" collapsed="false">
      <c r="A750" s="11"/>
      <c r="B750" s="10"/>
      <c r="C750" s="8"/>
      <c r="D750" s="8"/>
      <c r="E750" s="14"/>
      <c r="F750" s="8"/>
      <c r="G750" s="2"/>
      <c r="H750" s="2"/>
    </row>
    <row r="751" customFormat="false" ht="15" hidden="false" customHeight="false" outlineLevel="0" collapsed="false">
      <c r="A751" s="11"/>
      <c r="B751" s="10"/>
      <c r="C751" s="8"/>
      <c r="D751" s="8"/>
      <c r="E751" s="14"/>
      <c r="F751" s="8"/>
      <c r="G751" s="2"/>
      <c r="H751" s="2"/>
    </row>
    <row r="752" customFormat="false" ht="15" hidden="false" customHeight="false" outlineLevel="0" collapsed="false">
      <c r="A752" s="11"/>
      <c r="B752" s="10"/>
      <c r="C752" s="8"/>
      <c r="D752" s="8"/>
      <c r="E752" s="14"/>
      <c r="F752" s="8"/>
      <c r="G752" s="2"/>
      <c r="H752" s="2"/>
    </row>
    <row r="753" customFormat="false" ht="15" hidden="false" customHeight="false" outlineLevel="0" collapsed="false">
      <c r="A753" s="11"/>
      <c r="B753" s="10"/>
      <c r="C753" s="8"/>
      <c r="D753" s="8"/>
      <c r="E753" s="14"/>
      <c r="F753" s="8"/>
      <c r="G753" s="2"/>
      <c r="H753" s="2"/>
    </row>
    <row r="754" customFormat="false" ht="15" hidden="false" customHeight="false" outlineLevel="0" collapsed="false">
      <c r="A754" s="11"/>
      <c r="B754" s="10"/>
      <c r="C754" s="8"/>
      <c r="D754" s="8"/>
      <c r="E754" s="14"/>
      <c r="F754" s="8"/>
      <c r="G754" s="2"/>
      <c r="H754" s="2"/>
    </row>
    <row r="755" customFormat="false" ht="15" hidden="false" customHeight="false" outlineLevel="0" collapsed="false">
      <c r="A755" s="11"/>
      <c r="B755" s="10"/>
      <c r="C755" s="8"/>
      <c r="D755" s="8"/>
      <c r="E755" s="14"/>
      <c r="F755" s="8"/>
      <c r="G755" s="2"/>
      <c r="H755" s="2"/>
    </row>
    <row r="756" customFormat="false" ht="15" hidden="false" customHeight="false" outlineLevel="0" collapsed="false">
      <c r="A756" s="11"/>
      <c r="B756" s="10"/>
      <c r="C756" s="8"/>
      <c r="D756" s="8"/>
      <c r="E756" s="14"/>
      <c r="F756" s="8"/>
      <c r="G756" s="2"/>
      <c r="H756" s="2"/>
    </row>
    <row r="757" customFormat="false" ht="15" hidden="false" customHeight="false" outlineLevel="0" collapsed="false">
      <c r="A757" s="11"/>
      <c r="B757" s="10"/>
      <c r="C757" s="8"/>
      <c r="D757" s="8"/>
      <c r="E757" s="14"/>
      <c r="F757" s="8"/>
      <c r="G757" s="2"/>
      <c r="H757" s="2"/>
    </row>
    <row r="758" customFormat="false" ht="15" hidden="false" customHeight="false" outlineLevel="0" collapsed="false">
      <c r="A758" s="11"/>
      <c r="B758" s="10"/>
      <c r="C758" s="8"/>
      <c r="D758" s="8"/>
      <c r="E758" s="14"/>
      <c r="F758" s="8"/>
      <c r="G758" s="2"/>
      <c r="H758" s="2"/>
    </row>
    <row r="759" customFormat="false" ht="15" hidden="false" customHeight="false" outlineLevel="0" collapsed="false">
      <c r="A759" s="11"/>
      <c r="B759" s="10"/>
      <c r="C759" s="8"/>
      <c r="D759" s="8"/>
      <c r="E759" s="14"/>
      <c r="F759" s="8"/>
      <c r="G759" s="2"/>
      <c r="H759" s="2"/>
    </row>
    <row r="760" customFormat="false" ht="15" hidden="false" customHeight="false" outlineLevel="0" collapsed="false">
      <c r="A760" s="11"/>
      <c r="B760" s="10"/>
      <c r="C760" s="8"/>
      <c r="D760" s="8"/>
      <c r="E760" s="14"/>
      <c r="F760" s="8"/>
      <c r="G760" s="2"/>
      <c r="H760" s="2"/>
    </row>
    <row r="761" customFormat="false" ht="15" hidden="false" customHeight="false" outlineLevel="0" collapsed="false">
      <c r="A761" s="11"/>
      <c r="B761" s="10"/>
      <c r="C761" s="8"/>
      <c r="D761" s="8"/>
      <c r="E761" s="14"/>
      <c r="F761" s="8"/>
      <c r="G761" s="2"/>
      <c r="H761" s="2"/>
    </row>
    <row r="762" customFormat="false" ht="15" hidden="false" customHeight="false" outlineLevel="0" collapsed="false">
      <c r="A762" s="11"/>
      <c r="B762" s="10"/>
      <c r="C762" s="8"/>
      <c r="D762" s="8"/>
      <c r="E762" s="14"/>
      <c r="F762" s="8"/>
      <c r="G762" s="2"/>
      <c r="H762" s="2"/>
    </row>
    <row r="763" customFormat="false" ht="15" hidden="false" customHeight="false" outlineLevel="0" collapsed="false">
      <c r="A763" s="11"/>
      <c r="B763" s="10"/>
      <c r="C763" s="8"/>
      <c r="D763" s="8"/>
      <c r="E763" s="14"/>
      <c r="F763" s="8"/>
      <c r="G763" s="2"/>
      <c r="H763" s="2"/>
    </row>
    <row r="764" customFormat="false" ht="15" hidden="false" customHeight="false" outlineLevel="0" collapsed="false">
      <c r="A764" s="11"/>
      <c r="B764" s="10"/>
      <c r="C764" s="8"/>
      <c r="D764" s="8"/>
      <c r="E764" s="14"/>
      <c r="F764" s="8"/>
      <c r="G764" s="2"/>
      <c r="H764" s="2"/>
    </row>
    <row r="765" customFormat="false" ht="15" hidden="false" customHeight="false" outlineLevel="0" collapsed="false">
      <c r="A765" s="11"/>
      <c r="B765" s="10"/>
      <c r="C765" s="8"/>
      <c r="D765" s="8"/>
      <c r="E765" s="14"/>
      <c r="F765" s="8"/>
      <c r="G765" s="2"/>
      <c r="H765" s="2"/>
    </row>
    <row r="766" customFormat="false" ht="15" hidden="false" customHeight="false" outlineLevel="0" collapsed="false">
      <c r="A766" s="11"/>
      <c r="B766" s="10"/>
      <c r="C766" s="8"/>
      <c r="D766" s="8"/>
      <c r="E766" s="14"/>
      <c r="F766" s="8"/>
      <c r="G766" s="2"/>
      <c r="H766" s="2"/>
    </row>
    <row r="767" customFormat="false" ht="15" hidden="false" customHeight="false" outlineLevel="0" collapsed="false">
      <c r="A767" s="11"/>
      <c r="B767" s="10"/>
      <c r="C767" s="8"/>
      <c r="D767" s="8"/>
      <c r="E767" s="14"/>
      <c r="F767" s="8"/>
      <c r="G767" s="2"/>
      <c r="H767" s="2"/>
    </row>
    <row r="768" customFormat="false" ht="15" hidden="false" customHeight="false" outlineLevel="0" collapsed="false">
      <c r="A768" s="11"/>
      <c r="B768" s="10"/>
      <c r="C768" s="8"/>
      <c r="D768" s="8"/>
      <c r="E768" s="14"/>
      <c r="F768" s="8"/>
      <c r="G768" s="2"/>
      <c r="H768" s="2"/>
    </row>
    <row r="769" customFormat="false" ht="15" hidden="false" customHeight="false" outlineLevel="0" collapsed="false">
      <c r="A769" s="11"/>
      <c r="B769" s="10"/>
      <c r="C769" s="8"/>
      <c r="D769" s="8"/>
      <c r="E769" s="14"/>
      <c r="F769" s="8"/>
      <c r="G769" s="2"/>
      <c r="H769" s="2"/>
    </row>
    <row r="770" customFormat="false" ht="15" hidden="false" customHeight="false" outlineLevel="0" collapsed="false">
      <c r="A770" s="11"/>
      <c r="B770" s="10"/>
      <c r="C770" s="8"/>
      <c r="D770" s="8"/>
      <c r="E770" s="14"/>
      <c r="F770" s="8"/>
      <c r="G770" s="2"/>
      <c r="H770" s="2"/>
    </row>
    <row r="771" customFormat="false" ht="15" hidden="false" customHeight="false" outlineLevel="0" collapsed="false">
      <c r="A771" s="11"/>
      <c r="B771" s="10"/>
      <c r="C771" s="8"/>
      <c r="D771" s="8"/>
      <c r="E771" s="14"/>
      <c r="F771" s="8"/>
      <c r="G771" s="2"/>
      <c r="H771" s="2"/>
    </row>
    <row r="772" customFormat="false" ht="15" hidden="false" customHeight="false" outlineLevel="0" collapsed="false">
      <c r="A772" s="11"/>
      <c r="B772" s="10"/>
      <c r="C772" s="8"/>
      <c r="D772" s="8"/>
      <c r="E772" s="14"/>
      <c r="F772" s="8"/>
      <c r="G772" s="2"/>
      <c r="H772" s="2"/>
    </row>
    <row r="773" customFormat="false" ht="15" hidden="false" customHeight="false" outlineLevel="0" collapsed="false">
      <c r="A773" s="11"/>
      <c r="B773" s="10"/>
      <c r="C773" s="8"/>
      <c r="D773" s="8"/>
      <c r="E773" s="14"/>
      <c r="F773" s="8"/>
      <c r="G773" s="2"/>
      <c r="H773" s="2"/>
    </row>
    <row r="774" customFormat="false" ht="15" hidden="false" customHeight="false" outlineLevel="0" collapsed="false">
      <c r="A774" s="11"/>
      <c r="B774" s="10"/>
      <c r="C774" s="8"/>
      <c r="D774" s="8"/>
      <c r="E774" s="14"/>
      <c r="F774" s="8"/>
      <c r="G774" s="2"/>
      <c r="H774" s="2"/>
    </row>
    <row r="775" customFormat="false" ht="15" hidden="false" customHeight="false" outlineLevel="0" collapsed="false">
      <c r="A775" s="11"/>
      <c r="B775" s="10"/>
      <c r="C775" s="8"/>
      <c r="D775" s="8"/>
      <c r="E775" s="14"/>
      <c r="F775" s="8"/>
      <c r="G775" s="2"/>
      <c r="H775" s="2"/>
    </row>
    <row r="776" customFormat="false" ht="15" hidden="false" customHeight="false" outlineLevel="0" collapsed="false">
      <c r="A776" s="11"/>
      <c r="B776" s="10"/>
      <c r="C776" s="8"/>
      <c r="D776" s="8"/>
      <c r="E776" s="14"/>
      <c r="F776" s="8"/>
      <c r="G776" s="2"/>
      <c r="H776" s="2"/>
    </row>
    <row r="777" customFormat="false" ht="15" hidden="false" customHeight="false" outlineLevel="0" collapsed="false">
      <c r="A777" s="11"/>
      <c r="B777" s="10"/>
      <c r="C777" s="8"/>
      <c r="D777" s="8"/>
      <c r="E777" s="14"/>
      <c r="F777" s="8"/>
      <c r="G777" s="2"/>
      <c r="H777" s="2"/>
    </row>
    <row r="778" customFormat="false" ht="15" hidden="false" customHeight="false" outlineLevel="0" collapsed="false">
      <c r="A778" s="11"/>
      <c r="B778" s="10"/>
      <c r="C778" s="8"/>
      <c r="D778" s="8"/>
      <c r="E778" s="14"/>
      <c r="F778" s="8"/>
      <c r="G778" s="2"/>
      <c r="H778" s="2"/>
    </row>
    <row r="779" customFormat="false" ht="15" hidden="false" customHeight="false" outlineLevel="0" collapsed="false">
      <c r="A779" s="11"/>
      <c r="B779" s="10"/>
      <c r="C779" s="8"/>
      <c r="D779" s="8"/>
      <c r="E779" s="14"/>
      <c r="F779" s="8"/>
      <c r="G779" s="2"/>
      <c r="H779" s="2"/>
    </row>
    <row r="780" customFormat="false" ht="15" hidden="false" customHeight="false" outlineLevel="0" collapsed="false">
      <c r="A780" s="11"/>
      <c r="B780" s="10"/>
      <c r="C780" s="8"/>
      <c r="D780" s="8"/>
      <c r="E780" s="14"/>
      <c r="F780" s="8"/>
      <c r="G780" s="2"/>
      <c r="H780" s="2"/>
    </row>
    <row r="781" customFormat="false" ht="15" hidden="false" customHeight="false" outlineLevel="0" collapsed="false">
      <c r="A781" s="11"/>
      <c r="B781" s="10"/>
      <c r="C781" s="8"/>
      <c r="D781" s="8"/>
      <c r="E781" s="14"/>
      <c r="F781" s="8"/>
      <c r="G781" s="2"/>
      <c r="H781" s="2"/>
    </row>
    <row r="782" customFormat="false" ht="15" hidden="false" customHeight="false" outlineLevel="0" collapsed="false">
      <c r="A782" s="11"/>
      <c r="B782" s="10"/>
      <c r="C782" s="8"/>
      <c r="D782" s="8"/>
      <c r="E782" s="14"/>
      <c r="F782" s="8"/>
      <c r="G782" s="2"/>
      <c r="H782" s="2"/>
    </row>
    <row r="783" customFormat="false" ht="15" hidden="false" customHeight="false" outlineLevel="0" collapsed="false">
      <c r="A783" s="11"/>
      <c r="B783" s="10"/>
      <c r="C783" s="8"/>
      <c r="D783" s="8"/>
      <c r="E783" s="14"/>
      <c r="F783" s="8"/>
      <c r="G783" s="2"/>
      <c r="H783" s="2"/>
    </row>
    <row r="784" customFormat="false" ht="15" hidden="false" customHeight="false" outlineLevel="0" collapsed="false">
      <c r="A784" s="11"/>
      <c r="B784" s="10"/>
      <c r="C784" s="8"/>
      <c r="D784" s="8"/>
      <c r="E784" s="14"/>
      <c r="F784" s="8"/>
      <c r="G784" s="2"/>
      <c r="H784" s="2"/>
    </row>
    <row r="785" customFormat="false" ht="15" hidden="false" customHeight="false" outlineLevel="0" collapsed="false">
      <c r="A785" s="11"/>
      <c r="B785" s="10"/>
      <c r="C785" s="8"/>
      <c r="D785" s="8"/>
      <c r="E785" s="14"/>
      <c r="F785" s="8"/>
      <c r="G785" s="2"/>
      <c r="H785" s="2"/>
    </row>
    <row r="786" customFormat="false" ht="15" hidden="false" customHeight="false" outlineLevel="0" collapsed="false">
      <c r="A786" s="11"/>
      <c r="B786" s="10"/>
      <c r="C786" s="8"/>
      <c r="D786" s="8"/>
      <c r="E786" s="14"/>
      <c r="F786" s="8"/>
      <c r="G786" s="2"/>
      <c r="H786" s="2"/>
    </row>
    <row r="787" customFormat="false" ht="15" hidden="false" customHeight="false" outlineLevel="0" collapsed="false">
      <c r="A787" s="11"/>
      <c r="B787" s="10"/>
      <c r="C787" s="8"/>
      <c r="D787" s="8"/>
      <c r="E787" s="14"/>
      <c r="F787" s="8"/>
      <c r="G787" s="2"/>
      <c r="H787" s="2"/>
    </row>
    <row r="788" customFormat="false" ht="15" hidden="false" customHeight="false" outlineLevel="0" collapsed="false">
      <c r="A788" s="11"/>
      <c r="B788" s="10"/>
      <c r="C788" s="8"/>
      <c r="D788" s="8"/>
      <c r="E788" s="14"/>
      <c r="F788" s="8"/>
      <c r="G788" s="2"/>
      <c r="H788" s="2"/>
    </row>
    <row r="789" customFormat="false" ht="15" hidden="false" customHeight="false" outlineLevel="0" collapsed="false">
      <c r="A789" s="11"/>
      <c r="B789" s="10"/>
      <c r="C789" s="8"/>
      <c r="D789" s="8"/>
      <c r="E789" s="14"/>
      <c r="F789" s="8"/>
      <c r="G789" s="2"/>
      <c r="H789" s="2"/>
    </row>
    <row r="790" customFormat="false" ht="15" hidden="false" customHeight="false" outlineLevel="0" collapsed="false">
      <c r="A790" s="11"/>
      <c r="B790" s="10"/>
      <c r="C790" s="8"/>
      <c r="D790" s="8"/>
      <c r="E790" s="14"/>
      <c r="F790" s="8"/>
      <c r="G790" s="2"/>
      <c r="H790" s="2"/>
    </row>
    <row r="791" customFormat="false" ht="15" hidden="false" customHeight="false" outlineLevel="0" collapsed="false">
      <c r="A791" s="11"/>
      <c r="B791" s="10"/>
      <c r="C791" s="8"/>
      <c r="D791" s="8"/>
      <c r="E791" s="14"/>
      <c r="F791" s="8"/>
      <c r="G791" s="2"/>
      <c r="H791" s="2"/>
    </row>
    <row r="792" customFormat="false" ht="15" hidden="false" customHeight="false" outlineLevel="0" collapsed="false">
      <c r="A792" s="11"/>
      <c r="B792" s="10"/>
      <c r="C792" s="8"/>
      <c r="D792" s="8"/>
      <c r="E792" s="14"/>
      <c r="F792" s="8"/>
      <c r="G792" s="2"/>
      <c r="H792" s="2"/>
    </row>
    <row r="793" customFormat="false" ht="15" hidden="false" customHeight="false" outlineLevel="0" collapsed="false">
      <c r="A793" s="11"/>
      <c r="B793" s="10"/>
      <c r="C793" s="8"/>
      <c r="D793" s="8"/>
      <c r="E793" s="14"/>
      <c r="F793" s="8"/>
      <c r="G793" s="2"/>
      <c r="H793" s="2"/>
    </row>
    <row r="794" customFormat="false" ht="15" hidden="false" customHeight="false" outlineLevel="0" collapsed="false">
      <c r="A794" s="11"/>
      <c r="B794" s="10"/>
      <c r="C794" s="8"/>
      <c r="D794" s="8"/>
      <c r="E794" s="14"/>
      <c r="F794" s="8"/>
      <c r="G794" s="2"/>
      <c r="H794" s="2"/>
    </row>
    <row r="795" customFormat="false" ht="15" hidden="false" customHeight="false" outlineLevel="0" collapsed="false">
      <c r="A795" s="11"/>
      <c r="B795" s="10"/>
      <c r="C795" s="8"/>
      <c r="D795" s="8"/>
      <c r="E795" s="14"/>
      <c r="F795" s="8"/>
      <c r="G795" s="2"/>
      <c r="H795" s="2"/>
    </row>
    <row r="796" customFormat="false" ht="15" hidden="false" customHeight="false" outlineLevel="0" collapsed="false">
      <c r="A796" s="11"/>
      <c r="B796" s="10"/>
      <c r="C796" s="8"/>
      <c r="D796" s="8"/>
      <c r="E796" s="14"/>
      <c r="F796" s="8"/>
      <c r="G796" s="2"/>
      <c r="H796" s="2"/>
    </row>
    <row r="797" customFormat="false" ht="15" hidden="false" customHeight="false" outlineLevel="0" collapsed="false">
      <c r="A797" s="11"/>
      <c r="B797" s="10"/>
      <c r="C797" s="8"/>
      <c r="D797" s="8"/>
      <c r="E797" s="14"/>
      <c r="F797" s="8"/>
      <c r="G797" s="2"/>
      <c r="H797" s="2"/>
    </row>
    <row r="798" customFormat="false" ht="15" hidden="false" customHeight="false" outlineLevel="0" collapsed="false">
      <c r="A798" s="11"/>
      <c r="B798" s="10"/>
      <c r="C798" s="8"/>
      <c r="D798" s="8"/>
      <c r="E798" s="14"/>
      <c r="F798" s="8"/>
      <c r="G798" s="2"/>
      <c r="H798" s="2"/>
    </row>
    <row r="799" customFormat="false" ht="15" hidden="false" customHeight="false" outlineLevel="0" collapsed="false">
      <c r="A799" s="11"/>
      <c r="B799" s="10"/>
      <c r="C799" s="8"/>
      <c r="D799" s="8"/>
      <c r="E799" s="14"/>
      <c r="F799" s="8"/>
      <c r="G799" s="2"/>
      <c r="H799" s="2"/>
    </row>
    <row r="800" customFormat="false" ht="15" hidden="false" customHeight="false" outlineLevel="0" collapsed="false">
      <c r="A800" s="11"/>
      <c r="B800" s="10"/>
      <c r="C800" s="8"/>
      <c r="D800" s="8"/>
      <c r="E800" s="14"/>
      <c r="F800" s="8"/>
      <c r="G800" s="2"/>
      <c r="H800" s="2"/>
    </row>
    <row r="801" customFormat="false" ht="15" hidden="false" customHeight="false" outlineLevel="0" collapsed="false">
      <c r="A801" s="11"/>
      <c r="B801" s="10"/>
      <c r="C801" s="8"/>
      <c r="D801" s="8"/>
      <c r="E801" s="14"/>
      <c r="F801" s="8"/>
      <c r="G801" s="2"/>
      <c r="H801" s="2"/>
    </row>
    <row r="802" customFormat="false" ht="15" hidden="false" customHeight="false" outlineLevel="0" collapsed="false">
      <c r="A802" s="11"/>
      <c r="B802" s="10"/>
      <c r="C802" s="8"/>
      <c r="D802" s="8"/>
      <c r="E802" s="14"/>
      <c r="F802" s="8"/>
      <c r="G802" s="2"/>
      <c r="H802" s="2"/>
    </row>
    <row r="803" customFormat="false" ht="15" hidden="false" customHeight="false" outlineLevel="0" collapsed="false">
      <c r="A803" s="11"/>
      <c r="B803" s="10"/>
      <c r="C803" s="8"/>
      <c r="D803" s="8"/>
      <c r="E803" s="14"/>
      <c r="F803" s="8"/>
      <c r="G803" s="2"/>
      <c r="H803" s="2"/>
    </row>
    <row r="804" customFormat="false" ht="15" hidden="false" customHeight="false" outlineLevel="0" collapsed="false">
      <c r="A804" s="11"/>
      <c r="B804" s="10"/>
      <c r="C804" s="8"/>
      <c r="D804" s="8"/>
      <c r="E804" s="14"/>
      <c r="F804" s="8"/>
      <c r="G804" s="2"/>
      <c r="H804" s="2"/>
    </row>
    <row r="805" customFormat="false" ht="15" hidden="false" customHeight="false" outlineLevel="0" collapsed="false">
      <c r="A805" s="11"/>
      <c r="B805" s="10"/>
      <c r="C805" s="8"/>
      <c r="D805" s="8"/>
      <c r="E805" s="14"/>
      <c r="F805" s="8"/>
      <c r="G805" s="2"/>
      <c r="H805" s="2"/>
    </row>
    <row r="806" customFormat="false" ht="15" hidden="false" customHeight="false" outlineLevel="0" collapsed="false">
      <c r="A806" s="11"/>
      <c r="B806" s="10"/>
      <c r="C806" s="8"/>
      <c r="D806" s="8"/>
      <c r="E806" s="14"/>
      <c r="F806" s="8"/>
      <c r="G806" s="2"/>
      <c r="H806" s="2"/>
    </row>
    <row r="807" customFormat="false" ht="15" hidden="false" customHeight="false" outlineLevel="0" collapsed="false">
      <c r="A807" s="11"/>
      <c r="B807" s="10"/>
      <c r="C807" s="8"/>
      <c r="D807" s="8"/>
      <c r="E807" s="14"/>
      <c r="F807" s="8"/>
      <c r="G807" s="2"/>
      <c r="H807" s="2"/>
    </row>
    <row r="808" customFormat="false" ht="15" hidden="false" customHeight="false" outlineLevel="0" collapsed="false">
      <c r="A808" s="11"/>
      <c r="B808" s="10"/>
      <c r="C808" s="8"/>
      <c r="D808" s="8"/>
      <c r="E808" s="14"/>
      <c r="F808" s="8"/>
      <c r="G808" s="2"/>
      <c r="H808" s="2"/>
    </row>
    <row r="809" customFormat="false" ht="15" hidden="false" customHeight="false" outlineLevel="0" collapsed="false">
      <c r="A809" s="11"/>
      <c r="B809" s="10"/>
      <c r="C809" s="8"/>
      <c r="D809" s="8"/>
      <c r="E809" s="14"/>
      <c r="F809" s="8"/>
      <c r="G809" s="2"/>
      <c r="H809" s="2"/>
    </row>
    <row r="810" customFormat="false" ht="15" hidden="false" customHeight="false" outlineLevel="0" collapsed="false">
      <c r="A810" s="11"/>
      <c r="B810" s="10"/>
      <c r="C810" s="8"/>
      <c r="D810" s="8"/>
      <c r="E810" s="14"/>
      <c r="F810" s="8"/>
      <c r="G810" s="2"/>
      <c r="H810" s="2"/>
    </row>
    <row r="811" customFormat="false" ht="15" hidden="false" customHeight="false" outlineLevel="0" collapsed="false">
      <c r="A811" s="11"/>
      <c r="B811" s="10"/>
      <c r="C811" s="8"/>
      <c r="D811" s="8"/>
      <c r="E811" s="14"/>
      <c r="F811" s="8"/>
      <c r="G811" s="2"/>
      <c r="H811" s="2"/>
    </row>
    <row r="812" customFormat="false" ht="15" hidden="false" customHeight="false" outlineLevel="0" collapsed="false">
      <c r="A812" s="11"/>
      <c r="B812" s="10"/>
      <c r="C812" s="8"/>
      <c r="D812" s="8"/>
      <c r="E812" s="14"/>
      <c r="F812" s="8"/>
      <c r="G812" s="2"/>
      <c r="H812" s="2"/>
    </row>
    <row r="813" customFormat="false" ht="15" hidden="false" customHeight="false" outlineLevel="0" collapsed="false">
      <c r="A813" s="11"/>
      <c r="B813" s="10"/>
      <c r="C813" s="8"/>
      <c r="D813" s="8"/>
      <c r="E813" s="14"/>
      <c r="F813" s="8"/>
      <c r="G813" s="2"/>
      <c r="H813" s="2"/>
    </row>
    <row r="814" customFormat="false" ht="15" hidden="false" customHeight="false" outlineLevel="0" collapsed="false">
      <c r="A814" s="11"/>
      <c r="B814" s="10"/>
      <c r="C814" s="8"/>
      <c r="D814" s="8"/>
      <c r="E814" s="14"/>
      <c r="F814" s="8"/>
      <c r="G814" s="2"/>
      <c r="H814" s="2"/>
    </row>
    <row r="815" customFormat="false" ht="15" hidden="false" customHeight="false" outlineLevel="0" collapsed="false">
      <c r="A815" s="11"/>
      <c r="B815" s="10"/>
      <c r="C815" s="8"/>
      <c r="D815" s="8"/>
      <c r="E815" s="14"/>
      <c r="F815" s="8"/>
      <c r="G815" s="2"/>
      <c r="H815" s="2"/>
    </row>
    <row r="816" customFormat="false" ht="15" hidden="false" customHeight="false" outlineLevel="0" collapsed="false">
      <c r="A816" s="11"/>
      <c r="B816" s="10"/>
      <c r="C816" s="8"/>
      <c r="D816" s="8"/>
      <c r="E816" s="14"/>
      <c r="F816" s="8"/>
      <c r="G816" s="2"/>
      <c r="H816" s="2"/>
    </row>
    <row r="817" customFormat="false" ht="15" hidden="false" customHeight="false" outlineLevel="0" collapsed="false">
      <c r="A817" s="11"/>
      <c r="B817" s="10"/>
      <c r="C817" s="8"/>
      <c r="D817" s="8"/>
      <c r="E817" s="14"/>
      <c r="F817" s="8"/>
      <c r="G817" s="2"/>
      <c r="H817" s="2"/>
    </row>
    <row r="818" customFormat="false" ht="15" hidden="false" customHeight="false" outlineLevel="0" collapsed="false">
      <c r="A818" s="11"/>
      <c r="B818" s="10"/>
      <c r="C818" s="8"/>
      <c r="D818" s="8"/>
      <c r="E818" s="14"/>
      <c r="F818" s="8"/>
      <c r="G818" s="2"/>
      <c r="H818" s="2"/>
    </row>
    <row r="819" customFormat="false" ht="15" hidden="false" customHeight="false" outlineLevel="0" collapsed="false">
      <c r="A819" s="11"/>
      <c r="B819" s="10"/>
      <c r="C819" s="8"/>
      <c r="D819" s="8"/>
      <c r="E819" s="14"/>
      <c r="F819" s="8"/>
      <c r="G819" s="2"/>
      <c r="H819" s="2"/>
    </row>
    <row r="820" customFormat="false" ht="15" hidden="false" customHeight="false" outlineLevel="0" collapsed="false">
      <c r="A820" s="11"/>
      <c r="B820" s="10"/>
      <c r="C820" s="8"/>
      <c r="D820" s="8"/>
      <c r="E820" s="14"/>
      <c r="F820" s="8"/>
      <c r="G820" s="2"/>
      <c r="H820" s="2"/>
    </row>
    <row r="821" customFormat="false" ht="15" hidden="false" customHeight="false" outlineLevel="0" collapsed="false">
      <c r="A821" s="11"/>
      <c r="B821" s="10"/>
      <c r="C821" s="8"/>
      <c r="D821" s="8"/>
      <c r="E821" s="14"/>
      <c r="F821" s="8"/>
      <c r="G821" s="2"/>
      <c r="H821" s="2"/>
    </row>
    <row r="822" customFormat="false" ht="15" hidden="false" customHeight="false" outlineLevel="0" collapsed="false">
      <c r="A822" s="11"/>
      <c r="B822" s="10"/>
      <c r="C822" s="8"/>
      <c r="D822" s="8"/>
      <c r="E822" s="14"/>
      <c r="F822" s="8"/>
      <c r="G822" s="2"/>
      <c r="H822" s="2"/>
    </row>
    <row r="823" customFormat="false" ht="15" hidden="false" customHeight="false" outlineLevel="0" collapsed="false">
      <c r="A823" s="11"/>
      <c r="B823" s="10"/>
      <c r="C823" s="8"/>
      <c r="D823" s="8"/>
      <c r="E823" s="14"/>
      <c r="F823" s="8"/>
      <c r="G823" s="2"/>
      <c r="H823" s="2"/>
    </row>
    <row r="824" customFormat="false" ht="15" hidden="false" customHeight="false" outlineLevel="0" collapsed="false">
      <c r="A824" s="11"/>
      <c r="B824" s="10"/>
      <c r="C824" s="8"/>
      <c r="D824" s="8"/>
      <c r="E824" s="14"/>
      <c r="F824" s="8"/>
      <c r="G824" s="2"/>
      <c r="H824" s="2"/>
    </row>
    <row r="825" customFormat="false" ht="15" hidden="false" customHeight="false" outlineLevel="0" collapsed="false">
      <c r="A825" s="11"/>
      <c r="B825" s="10"/>
      <c r="C825" s="8"/>
      <c r="D825" s="8"/>
      <c r="E825" s="14"/>
      <c r="F825" s="8"/>
      <c r="G825" s="2"/>
      <c r="H825" s="2"/>
    </row>
    <row r="826" customFormat="false" ht="15" hidden="false" customHeight="false" outlineLevel="0" collapsed="false">
      <c r="A826" s="11"/>
      <c r="B826" s="10"/>
      <c r="C826" s="8"/>
      <c r="D826" s="8"/>
      <c r="E826" s="14"/>
      <c r="F826" s="8"/>
      <c r="G826" s="2"/>
      <c r="H826" s="2"/>
    </row>
    <row r="827" customFormat="false" ht="15" hidden="false" customHeight="false" outlineLevel="0" collapsed="false">
      <c r="A827" s="11"/>
      <c r="B827" s="10"/>
      <c r="C827" s="8"/>
      <c r="D827" s="8"/>
      <c r="E827" s="14"/>
      <c r="F827" s="8"/>
      <c r="G827" s="2"/>
      <c r="H827" s="2"/>
    </row>
    <row r="828" customFormat="false" ht="15" hidden="false" customHeight="false" outlineLevel="0" collapsed="false">
      <c r="A828" s="11"/>
      <c r="B828" s="10"/>
      <c r="C828" s="8"/>
      <c r="D828" s="8"/>
      <c r="E828" s="14"/>
      <c r="F828" s="8"/>
      <c r="G828" s="2"/>
      <c r="H828" s="2"/>
    </row>
    <row r="829" customFormat="false" ht="15" hidden="false" customHeight="false" outlineLevel="0" collapsed="false">
      <c r="A829" s="11"/>
      <c r="B829" s="10"/>
      <c r="C829" s="8"/>
      <c r="D829" s="8"/>
      <c r="E829" s="14"/>
      <c r="F829" s="8"/>
      <c r="G829" s="2"/>
      <c r="H829" s="2"/>
    </row>
    <row r="830" customFormat="false" ht="15" hidden="false" customHeight="false" outlineLevel="0" collapsed="false">
      <c r="A830" s="11"/>
      <c r="B830" s="10"/>
      <c r="C830" s="8"/>
      <c r="D830" s="8"/>
      <c r="E830" s="14"/>
      <c r="F830" s="8"/>
      <c r="G830" s="2"/>
      <c r="H830" s="2"/>
    </row>
    <row r="831" customFormat="false" ht="15" hidden="false" customHeight="false" outlineLevel="0" collapsed="false">
      <c r="A831" s="11"/>
      <c r="B831" s="10"/>
      <c r="C831" s="8"/>
      <c r="D831" s="8"/>
      <c r="E831" s="14"/>
      <c r="F831" s="8"/>
      <c r="G831" s="2"/>
      <c r="H831" s="2"/>
    </row>
    <row r="832" customFormat="false" ht="15" hidden="false" customHeight="false" outlineLevel="0" collapsed="false">
      <c r="A832" s="11"/>
      <c r="B832" s="10"/>
      <c r="C832" s="8"/>
      <c r="D832" s="8"/>
      <c r="E832" s="14"/>
      <c r="F832" s="8"/>
      <c r="G832" s="2"/>
      <c r="H832" s="2"/>
    </row>
    <row r="833" customFormat="false" ht="15" hidden="false" customHeight="false" outlineLevel="0" collapsed="false">
      <c r="A833" s="11"/>
      <c r="B833" s="10"/>
      <c r="C833" s="8"/>
      <c r="D833" s="8"/>
      <c r="E833" s="14"/>
      <c r="F833" s="8"/>
      <c r="G833" s="2"/>
      <c r="H833" s="2"/>
    </row>
    <row r="834" customFormat="false" ht="15" hidden="false" customHeight="false" outlineLevel="0" collapsed="false">
      <c r="A834" s="11"/>
      <c r="B834" s="10"/>
      <c r="C834" s="8"/>
      <c r="D834" s="8"/>
      <c r="E834" s="14"/>
      <c r="F834" s="8"/>
      <c r="G834" s="2"/>
      <c r="H834" s="2"/>
    </row>
    <row r="835" customFormat="false" ht="15" hidden="false" customHeight="false" outlineLevel="0" collapsed="false">
      <c r="A835" s="11"/>
      <c r="B835" s="10"/>
      <c r="C835" s="8"/>
      <c r="D835" s="8"/>
      <c r="E835" s="14"/>
      <c r="F835" s="8"/>
      <c r="G835" s="2"/>
      <c r="H835" s="2"/>
    </row>
    <row r="836" customFormat="false" ht="15" hidden="false" customHeight="false" outlineLevel="0" collapsed="false">
      <c r="A836" s="11"/>
      <c r="B836" s="10"/>
      <c r="C836" s="8"/>
      <c r="D836" s="8"/>
      <c r="E836" s="14"/>
      <c r="F836" s="8"/>
      <c r="G836" s="2"/>
      <c r="H836" s="2"/>
    </row>
    <row r="837" customFormat="false" ht="15" hidden="false" customHeight="false" outlineLevel="0" collapsed="false">
      <c r="A837" s="11"/>
      <c r="B837" s="10"/>
      <c r="C837" s="8"/>
      <c r="D837" s="8"/>
      <c r="E837" s="14"/>
      <c r="F837" s="8"/>
      <c r="G837" s="2"/>
      <c r="H837" s="2"/>
    </row>
    <row r="838" customFormat="false" ht="15" hidden="false" customHeight="false" outlineLevel="0" collapsed="false">
      <c r="A838" s="11"/>
      <c r="B838" s="10"/>
      <c r="C838" s="8"/>
      <c r="D838" s="8"/>
      <c r="E838" s="14"/>
      <c r="F838" s="8"/>
      <c r="G838" s="2"/>
      <c r="H838" s="2"/>
    </row>
    <row r="839" customFormat="false" ht="15" hidden="false" customHeight="false" outlineLevel="0" collapsed="false">
      <c r="A839" s="11"/>
      <c r="B839" s="10"/>
      <c r="C839" s="8"/>
      <c r="D839" s="8"/>
      <c r="E839" s="14"/>
      <c r="F839" s="8"/>
      <c r="G839" s="2"/>
      <c r="H839" s="2"/>
    </row>
    <row r="840" customFormat="false" ht="15" hidden="false" customHeight="false" outlineLevel="0" collapsed="false">
      <c r="A840" s="11"/>
      <c r="B840" s="10"/>
      <c r="C840" s="8"/>
      <c r="D840" s="8"/>
      <c r="E840" s="14"/>
      <c r="F840" s="8"/>
      <c r="G840" s="2"/>
      <c r="H840" s="2"/>
    </row>
    <row r="841" customFormat="false" ht="15" hidden="false" customHeight="false" outlineLevel="0" collapsed="false">
      <c r="A841" s="11"/>
      <c r="B841" s="10"/>
      <c r="C841" s="8"/>
      <c r="D841" s="8"/>
      <c r="E841" s="14"/>
      <c r="F841" s="8"/>
      <c r="G841" s="2"/>
      <c r="H841" s="2"/>
    </row>
    <row r="842" customFormat="false" ht="15" hidden="false" customHeight="false" outlineLevel="0" collapsed="false">
      <c r="A842" s="11"/>
      <c r="B842" s="10"/>
      <c r="C842" s="8"/>
      <c r="D842" s="8"/>
      <c r="E842" s="14"/>
      <c r="F842" s="8"/>
      <c r="G842" s="2"/>
      <c r="H842" s="2"/>
    </row>
    <row r="843" customFormat="false" ht="15" hidden="false" customHeight="false" outlineLevel="0" collapsed="false">
      <c r="A843" s="11"/>
      <c r="B843" s="10"/>
      <c r="C843" s="8"/>
      <c r="D843" s="8"/>
      <c r="E843" s="14"/>
      <c r="F843" s="8"/>
      <c r="G843" s="2"/>
      <c r="H843" s="2"/>
    </row>
    <row r="844" customFormat="false" ht="15" hidden="false" customHeight="false" outlineLevel="0" collapsed="false">
      <c r="A844" s="11"/>
      <c r="B844" s="10"/>
      <c r="C844" s="8"/>
      <c r="D844" s="8"/>
      <c r="E844" s="14"/>
      <c r="F844" s="8"/>
      <c r="G844" s="2"/>
      <c r="H844" s="2"/>
    </row>
    <row r="845" customFormat="false" ht="15" hidden="false" customHeight="false" outlineLevel="0" collapsed="false">
      <c r="A845" s="11"/>
      <c r="B845" s="10"/>
      <c r="C845" s="8"/>
      <c r="D845" s="8"/>
      <c r="E845" s="14"/>
      <c r="F845" s="8"/>
      <c r="G845" s="2"/>
      <c r="H845" s="2"/>
    </row>
    <row r="846" customFormat="false" ht="15" hidden="false" customHeight="false" outlineLevel="0" collapsed="false">
      <c r="A846" s="11"/>
      <c r="B846" s="10"/>
      <c r="C846" s="8"/>
      <c r="D846" s="8"/>
      <c r="E846" s="14"/>
      <c r="F846" s="8"/>
      <c r="G846" s="2"/>
      <c r="H846" s="2"/>
    </row>
    <row r="847" customFormat="false" ht="15" hidden="false" customHeight="false" outlineLevel="0" collapsed="false">
      <c r="A847" s="11"/>
      <c r="B847" s="10"/>
      <c r="C847" s="8"/>
      <c r="D847" s="8"/>
      <c r="E847" s="14"/>
      <c r="F847" s="8"/>
      <c r="G847" s="2"/>
      <c r="H847" s="2"/>
    </row>
    <row r="848" customFormat="false" ht="15" hidden="false" customHeight="false" outlineLevel="0" collapsed="false">
      <c r="A848" s="11"/>
      <c r="B848" s="10"/>
      <c r="C848" s="8"/>
      <c r="D848" s="8"/>
      <c r="E848" s="14"/>
      <c r="F848" s="8"/>
      <c r="G848" s="2"/>
      <c r="H848" s="2"/>
    </row>
    <row r="849" customFormat="false" ht="15" hidden="false" customHeight="false" outlineLevel="0" collapsed="false">
      <c r="A849" s="11"/>
      <c r="B849" s="10"/>
      <c r="C849" s="8"/>
      <c r="D849" s="8"/>
      <c r="E849" s="14"/>
      <c r="F849" s="8"/>
      <c r="G849" s="2"/>
      <c r="H849" s="2"/>
    </row>
    <row r="850" customFormat="false" ht="15" hidden="false" customHeight="false" outlineLevel="0" collapsed="false">
      <c r="A850" s="11"/>
      <c r="B850" s="10"/>
      <c r="C850" s="8"/>
      <c r="D850" s="8"/>
      <c r="E850" s="14"/>
      <c r="F850" s="8"/>
      <c r="G850" s="2"/>
      <c r="H850" s="2"/>
    </row>
    <row r="851" customFormat="false" ht="15" hidden="false" customHeight="false" outlineLevel="0" collapsed="false">
      <c r="A851" s="11"/>
      <c r="B851" s="10"/>
      <c r="C851" s="8"/>
      <c r="D851" s="8"/>
      <c r="E851" s="14"/>
      <c r="F851" s="8"/>
      <c r="G851" s="2"/>
      <c r="H851" s="2"/>
    </row>
    <row r="852" customFormat="false" ht="15" hidden="false" customHeight="false" outlineLevel="0" collapsed="false">
      <c r="A852" s="11"/>
      <c r="B852" s="10"/>
      <c r="C852" s="8"/>
      <c r="D852" s="8"/>
      <c r="E852" s="14"/>
      <c r="F852" s="8"/>
      <c r="G852" s="2"/>
      <c r="H852" s="2"/>
    </row>
    <row r="853" customFormat="false" ht="15" hidden="false" customHeight="false" outlineLevel="0" collapsed="false">
      <c r="A853" s="11"/>
      <c r="B853" s="10"/>
      <c r="C853" s="8"/>
      <c r="D853" s="8"/>
      <c r="E853" s="14"/>
      <c r="F853" s="8"/>
      <c r="G853" s="2"/>
      <c r="H853" s="2"/>
    </row>
    <row r="854" customFormat="false" ht="15" hidden="false" customHeight="false" outlineLevel="0" collapsed="false">
      <c r="A854" s="11"/>
      <c r="B854" s="10"/>
      <c r="C854" s="8"/>
      <c r="D854" s="8"/>
      <c r="E854" s="14"/>
      <c r="F854" s="8"/>
      <c r="G854" s="2"/>
      <c r="H854" s="2"/>
    </row>
    <row r="855" customFormat="false" ht="15" hidden="false" customHeight="false" outlineLevel="0" collapsed="false">
      <c r="A855" s="11"/>
      <c r="B855" s="10"/>
      <c r="C855" s="8"/>
      <c r="D855" s="8"/>
      <c r="E855" s="14"/>
      <c r="F855" s="8"/>
      <c r="G855" s="2"/>
      <c r="H855" s="2"/>
    </row>
    <row r="856" customFormat="false" ht="15" hidden="false" customHeight="false" outlineLevel="0" collapsed="false">
      <c r="A856" s="11"/>
      <c r="B856" s="10"/>
      <c r="C856" s="8"/>
      <c r="D856" s="8"/>
      <c r="E856" s="14"/>
      <c r="F856" s="8"/>
      <c r="G856" s="2"/>
      <c r="H856" s="2"/>
    </row>
    <row r="857" customFormat="false" ht="15" hidden="false" customHeight="false" outlineLevel="0" collapsed="false">
      <c r="A857" s="11"/>
      <c r="B857" s="10"/>
      <c r="C857" s="8"/>
      <c r="D857" s="8"/>
      <c r="E857" s="14"/>
      <c r="F857" s="8"/>
      <c r="G857" s="2"/>
      <c r="H857" s="2"/>
    </row>
    <row r="858" customFormat="false" ht="15" hidden="false" customHeight="false" outlineLevel="0" collapsed="false">
      <c r="A858" s="11"/>
      <c r="B858" s="10"/>
      <c r="C858" s="8"/>
      <c r="D858" s="8"/>
      <c r="E858" s="14"/>
      <c r="F858" s="8"/>
      <c r="G858" s="2"/>
      <c r="H858" s="2"/>
    </row>
    <row r="859" customFormat="false" ht="15" hidden="false" customHeight="false" outlineLevel="0" collapsed="false">
      <c r="A859" s="11"/>
      <c r="B859" s="10"/>
      <c r="C859" s="8"/>
      <c r="D859" s="8"/>
      <c r="E859" s="14"/>
      <c r="F859" s="8"/>
      <c r="G859" s="2"/>
      <c r="H859" s="2"/>
    </row>
    <row r="860" customFormat="false" ht="15" hidden="false" customHeight="false" outlineLevel="0" collapsed="false">
      <c r="A860" s="11"/>
      <c r="B860" s="10"/>
      <c r="C860" s="8"/>
      <c r="D860" s="8"/>
      <c r="E860" s="14"/>
      <c r="F860" s="8"/>
      <c r="G860" s="2"/>
      <c r="H860" s="2"/>
    </row>
    <row r="861" customFormat="false" ht="15" hidden="false" customHeight="false" outlineLevel="0" collapsed="false">
      <c r="A861" s="11"/>
      <c r="B861" s="10"/>
      <c r="C861" s="8"/>
      <c r="D861" s="8"/>
      <c r="E861" s="14"/>
      <c r="F861" s="8"/>
      <c r="G861" s="2"/>
      <c r="H861" s="2"/>
    </row>
    <row r="862" customFormat="false" ht="15" hidden="false" customHeight="false" outlineLevel="0" collapsed="false">
      <c r="A862" s="11"/>
      <c r="B862" s="10"/>
      <c r="C862" s="8"/>
      <c r="D862" s="8"/>
      <c r="E862" s="14"/>
      <c r="F862" s="8"/>
      <c r="G862" s="2"/>
      <c r="H862" s="2"/>
    </row>
    <row r="863" customFormat="false" ht="15" hidden="false" customHeight="false" outlineLevel="0" collapsed="false">
      <c r="A863" s="11"/>
      <c r="B863" s="10"/>
      <c r="C863" s="8"/>
      <c r="D863" s="8"/>
      <c r="E863" s="14"/>
      <c r="F863" s="8"/>
      <c r="G863" s="2"/>
      <c r="H863" s="2"/>
    </row>
    <row r="864" customFormat="false" ht="15" hidden="false" customHeight="false" outlineLevel="0" collapsed="false">
      <c r="A864" s="11"/>
      <c r="B864" s="10"/>
      <c r="C864" s="8"/>
      <c r="D864" s="8"/>
      <c r="E864" s="14"/>
      <c r="F864" s="8"/>
      <c r="G864" s="2"/>
      <c r="H864" s="2"/>
    </row>
    <row r="865" customFormat="false" ht="15" hidden="false" customHeight="false" outlineLevel="0" collapsed="false">
      <c r="A865" s="11"/>
      <c r="B865" s="10"/>
      <c r="C865" s="8"/>
      <c r="D865" s="8"/>
      <c r="E865" s="14"/>
      <c r="F865" s="8"/>
      <c r="G865" s="2"/>
      <c r="H865" s="2"/>
    </row>
    <row r="866" customFormat="false" ht="15" hidden="false" customHeight="false" outlineLevel="0" collapsed="false">
      <c r="A866" s="11"/>
      <c r="B866" s="10"/>
      <c r="C866" s="8"/>
      <c r="D866" s="8"/>
      <c r="E866" s="14"/>
      <c r="F866" s="8"/>
      <c r="G866" s="2"/>
      <c r="H866" s="2"/>
    </row>
    <row r="867" customFormat="false" ht="15" hidden="false" customHeight="false" outlineLevel="0" collapsed="false">
      <c r="A867" s="11"/>
      <c r="B867" s="10"/>
      <c r="C867" s="8"/>
      <c r="D867" s="8"/>
      <c r="E867" s="14"/>
      <c r="F867" s="8"/>
      <c r="G867" s="2"/>
      <c r="H867" s="2"/>
    </row>
    <row r="868" customFormat="false" ht="15" hidden="false" customHeight="false" outlineLevel="0" collapsed="false">
      <c r="A868" s="11"/>
      <c r="B868" s="10"/>
      <c r="C868" s="8"/>
      <c r="D868" s="8"/>
      <c r="E868" s="14"/>
      <c r="F868" s="8"/>
      <c r="G868" s="2"/>
      <c r="H868" s="2"/>
    </row>
    <row r="869" customFormat="false" ht="15" hidden="false" customHeight="false" outlineLevel="0" collapsed="false">
      <c r="A869" s="11"/>
      <c r="B869" s="10"/>
      <c r="C869" s="8"/>
      <c r="D869" s="8"/>
      <c r="E869" s="14"/>
      <c r="F869" s="8"/>
      <c r="G869" s="2"/>
      <c r="H869" s="2"/>
    </row>
    <row r="870" customFormat="false" ht="15" hidden="false" customHeight="false" outlineLevel="0" collapsed="false">
      <c r="A870" s="11"/>
      <c r="B870" s="10"/>
      <c r="C870" s="8"/>
      <c r="D870" s="8"/>
      <c r="E870" s="14"/>
      <c r="F870" s="8"/>
      <c r="G870" s="2"/>
      <c r="H870" s="2"/>
    </row>
    <row r="871" customFormat="false" ht="15" hidden="false" customHeight="false" outlineLevel="0" collapsed="false">
      <c r="A871" s="11"/>
      <c r="B871" s="10"/>
      <c r="C871" s="8"/>
      <c r="D871" s="8"/>
      <c r="E871" s="14"/>
      <c r="F871" s="8"/>
      <c r="G871" s="2"/>
      <c r="H871" s="2"/>
    </row>
    <row r="872" customFormat="false" ht="15" hidden="false" customHeight="false" outlineLevel="0" collapsed="false">
      <c r="A872" s="11"/>
      <c r="B872" s="10"/>
      <c r="C872" s="8"/>
      <c r="D872" s="8"/>
      <c r="E872" s="14"/>
      <c r="F872" s="8"/>
      <c r="G872" s="2"/>
      <c r="H872" s="2"/>
    </row>
    <row r="873" customFormat="false" ht="15" hidden="false" customHeight="false" outlineLevel="0" collapsed="false">
      <c r="A873" s="11"/>
      <c r="B873" s="10"/>
      <c r="C873" s="8"/>
      <c r="D873" s="8"/>
      <c r="E873" s="14"/>
      <c r="F873" s="8"/>
      <c r="G873" s="2"/>
      <c r="H873" s="2"/>
    </row>
    <row r="874" customFormat="false" ht="15" hidden="false" customHeight="false" outlineLevel="0" collapsed="false">
      <c r="A874" s="11"/>
      <c r="B874" s="10"/>
      <c r="C874" s="8"/>
      <c r="D874" s="8"/>
      <c r="E874" s="14"/>
      <c r="F874" s="8"/>
      <c r="G874" s="2"/>
      <c r="H874" s="2"/>
    </row>
    <row r="875" customFormat="false" ht="15" hidden="false" customHeight="false" outlineLevel="0" collapsed="false">
      <c r="A875" s="11"/>
      <c r="B875" s="10"/>
      <c r="C875" s="8"/>
      <c r="D875" s="8"/>
      <c r="E875" s="14"/>
      <c r="F875" s="8"/>
      <c r="G875" s="2"/>
      <c r="H875" s="2"/>
    </row>
    <row r="876" customFormat="false" ht="15" hidden="false" customHeight="false" outlineLevel="0" collapsed="false">
      <c r="A876" s="11"/>
      <c r="B876" s="10"/>
      <c r="C876" s="8"/>
      <c r="D876" s="8"/>
      <c r="E876" s="14"/>
      <c r="F876" s="8"/>
      <c r="G876" s="2"/>
      <c r="H876" s="2"/>
    </row>
    <row r="877" customFormat="false" ht="15" hidden="false" customHeight="false" outlineLevel="0" collapsed="false">
      <c r="A877" s="11"/>
      <c r="B877" s="10"/>
      <c r="C877" s="8"/>
      <c r="D877" s="8"/>
      <c r="E877" s="14"/>
      <c r="F877" s="8"/>
      <c r="G877" s="2"/>
      <c r="H877" s="2"/>
    </row>
    <row r="878" customFormat="false" ht="15" hidden="false" customHeight="false" outlineLevel="0" collapsed="false">
      <c r="A878" s="11"/>
      <c r="B878" s="10"/>
      <c r="C878" s="8"/>
      <c r="D878" s="8"/>
      <c r="E878" s="14"/>
      <c r="F878" s="8"/>
      <c r="G878" s="2"/>
      <c r="H878" s="2"/>
    </row>
    <row r="879" customFormat="false" ht="15" hidden="false" customHeight="false" outlineLevel="0" collapsed="false">
      <c r="A879" s="11"/>
      <c r="B879" s="10"/>
      <c r="C879" s="8"/>
      <c r="D879" s="8"/>
      <c r="E879" s="14"/>
      <c r="F879" s="8"/>
      <c r="G879" s="2"/>
      <c r="H879" s="2"/>
    </row>
    <row r="880" customFormat="false" ht="15" hidden="false" customHeight="false" outlineLevel="0" collapsed="false">
      <c r="A880" s="11"/>
      <c r="B880" s="10"/>
      <c r="C880" s="8"/>
      <c r="D880" s="8"/>
      <c r="E880" s="14"/>
      <c r="F880" s="8"/>
      <c r="G880" s="2"/>
      <c r="H880" s="2"/>
    </row>
    <row r="881" customFormat="false" ht="15" hidden="false" customHeight="false" outlineLevel="0" collapsed="false">
      <c r="A881" s="11"/>
      <c r="B881" s="10"/>
      <c r="C881" s="8"/>
      <c r="D881" s="8"/>
      <c r="E881" s="14"/>
      <c r="F881" s="8"/>
      <c r="G881" s="2"/>
      <c r="H881" s="2"/>
    </row>
    <row r="882" customFormat="false" ht="15" hidden="false" customHeight="false" outlineLevel="0" collapsed="false">
      <c r="A882" s="11"/>
      <c r="B882" s="10"/>
      <c r="C882" s="8"/>
      <c r="D882" s="8"/>
      <c r="E882" s="14"/>
      <c r="F882" s="8"/>
      <c r="G882" s="2"/>
      <c r="H882" s="2"/>
    </row>
    <row r="883" customFormat="false" ht="15" hidden="false" customHeight="false" outlineLevel="0" collapsed="false">
      <c r="A883" s="11"/>
      <c r="B883" s="10"/>
      <c r="C883" s="8"/>
      <c r="D883" s="8"/>
      <c r="E883" s="14"/>
      <c r="F883" s="8"/>
      <c r="G883" s="2"/>
      <c r="H883" s="2"/>
    </row>
    <row r="884" customFormat="false" ht="15" hidden="false" customHeight="false" outlineLevel="0" collapsed="false">
      <c r="A884" s="11"/>
      <c r="B884" s="10"/>
      <c r="C884" s="8"/>
      <c r="D884" s="8"/>
      <c r="E884" s="14"/>
      <c r="F884" s="8"/>
      <c r="G884" s="2"/>
      <c r="H884" s="2"/>
    </row>
    <row r="885" customFormat="false" ht="15" hidden="false" customHeight="false" outlineLevel="0" collapsed="false">
      <c r="A885" s="11"/>
      <c r="B885" s="10"/>
      <c r="C885" s="8"/>
      <c r="D885" s="8"/>
      <c r="E885" s="14"/>
      <c r="F885" s="8"/>
      <c r="G885" s="2"/>
      <c r="H885" s="2"/>
    </row>
    <row r="886" customFormat="false" ht="15" hidden="false" customHeight="false" outlineLevel="0" collapsed="false">
      <c r="A886" s="11"/>
      <c r="B886" s="10"/>
      <c r="C886" s="8"/>
      <c r="D886" s="8"/>
      <c r="E886" s="14"/>
      <c r="F886" s="8"/>
      <c r="G886" s="2"/>
      <c r="H886" s="2"/>
    </row>
    <row r="887" customFormat="false" ht="15" hidden="false" customHeight="false" outlineLevel="0" collapsed="false">
      <c r="A887" s="11"/>
      <c r="B887" s="10"/>
      <c r="C887" s="8"/>
      <c r="D887" s="8"/>
      <c r="E887" s="14"/>
      <c r="F887" s="8"/>
      <c r="G887" s="2"/>
      <c r="H887" s="2"/>
    </row>
    <row r="888" customFormat="false" ht="15" hidden="false" customHeight="false" outlineLevel="0" collapsed="false">
      <c r="A888" s="11"/>
      <c r="B888" s="10"/>
      <c r="C888" s="8"/>
      <c r="D888" s="8"/>
      <c r="E888" s="14"/>
      <c r="F888" s="8"/>
      <c r="G888" s="2"/>
      <c r="H888" s="2"/>
    </row>
    <row r="889" customFormat="false" ht="15" hidden="false" customHeight="false" outlineLevel="0" collapsed="false">
      <c r="A889" s="11"/>
      <c r="B889" s="10"/>
      <c r="C889" s="8"/>
      <c r="D889" s="8"/>
      <c r="E889" s="14"/>
      <c r="F889" s="8"/>
      <c r="G889" s="2"/>
      <c r="H889" s="2"/>
    </row>
    <row r="890" customFormat="false" ht="15" hidden="false" customHeight="false" outlineLevel="0" collapsed="false">
      <c r="A890" s="11"/>
      <c r="B890" s="10"/>
      <c r="C890" s="8"/>
      <c r="D890" s="8"/>
      <c r="E890" s="14"/>
      <c r="F890" s="8"/>
      <c r="G890" s="2"/>
      <c r="H890" s="2"/>
    </row>
    <row r="891" customFormat="false" ht="15" hidden="false" customHeight="false" outlineLevel="0" collapsed="false">
      <c r="A891" s="11"/>
      <c r="B891" s="10"/>
      <c r="C891" s="8"/>
      <c r="D891" s="8"/>
      <c r="E891" s="14"/>
      <c r="F891" s="8"/>
      <c r="G891" s="2"/>
      <c r="H891" s="2"/>
    </row>
    <row r="892" customFormat="false" ht="15" hidden="false" customHeight="false" outlineLevel="0" collapsed="false">
      <c r="A892" s="11"/>
      <c r="B892" s="10"/>
      <c r="C892" s="8"/>
      <c r="D892" s="8"/>
      <c r="E892" s="14"/>
      <c r="F892" s="8"/>
      <c r="G892" s="2"/>
      <c r="H892" s="2"/>
    </row>
    <row r="893" customFormat="false" ht="15" hidden="false" customHeight="false" outlineLevel="0" collapsed="false">
      <c r="A893" s="11"/>
      <c r="B893" s="10"/>
      <c r="C893" s="8"/>
      <c r="D893" s="8"/>
      <c r="E893" s="14"/>
      <c r="F893" s="8"/>
      <c r="G893" s="2"/>
      <c r="H893" s="2"/>
    </row>
    <row r="894" customFormat="false" ht="15" hidden="false" customHeight="false" outlineLevel="0" collapsed="false">
      <c r="A894" s="11"/>
      <c r="B894" s="10"/>
      <c r="C894" s="8"/>
      <c r="D894" s="8"/>
      <c r="E894" s="14"/>
      <c r="F894" s="8"/>
      <c r="G894" s="2"/>
      <c r="H894" s="2"/>
    </row>
    <row r="895" customFormat="false" ht="15" hidden="false" customHeight="false" outlineLevel="0" collapsed="false">
      <c r="A895" s="11"/>
      <c r="B895" s="10"/>
      <c r="C895" s="8"/>
      <c r="D895" s="8"/>
      <c r="E895" s="14"/>
      <c r="F895" s="8"/>
      <c r="G895" s="2"/>
      <c r="H895" s="2"/>
    </row>
    <row r="896" customFormat="false" ht="15" hidden="false" customHeight="false" outlineLevel="0" collapsed="false">
      <c r="A896" s="11"/>
      <c r="B896" s="10"/>
      <c r="C896" s="8"/>
      <c r="D896" s="8"/>
      <c r="E896" s="14"/>
      <c r="F896" s="8"/>
      <c r="G896" s="2"/>
      <c r="H896" s="2"/>
    </row>
    <row r="897" customFormat="false" ht="15" hidden="false" customHeight="false" outlineLevel="0" collapsed="false">
      <c r="A897" s="11"/>
      <c r="B897" s="10"/>
      <c r="C897" s="8"/>
      <c r="D897" s="8"/>
      <c r="E897" s="14"/>
      <c r="F897" s="8"/>
      <c r="G897" s="2"/>
      <c r="H897" s="2"/>
    </row>
    <row r="898" customFormat="false" ht="15" hidden="false" customHeight="false" outlineLevel="0" collapsed="false">
      <c r="A898" s="11"/>
      <c r="B898" s="10"/>
      <c r="C898" s="8"/>
      <c r="D898" s="8"/>
      <c r="E898" s="14"/>
      <c r="F898" s="8"/>
      <c r="G898" s="2"/>
      <c r="H898" s="2"/>
    </row>
    <row r="899" customFormat="false" ht="15" hidden="false" customHeight="false" outlineLevel="0" collapsed="false">
      <c r="A899" s="11"/>
      <c r="B899" s="10"/>
      <c r="C899" s="8"/>
      <c r="D899" s="8"/>
      <c r="E899" s="14"/>
      <c r="F899" s="8"/>
      <c r="G899" s="2"/>
      <c r="H899" s="2"/>
    </row>
    <row r="900" customFormat="false" ht="15" hidden="false" customHeight="false" outlineLevel="0" collapsed="false">
      <c r="A900" s="11"/>
      <c r="B900" s="10"/>
      <c r="C900" s="8"/>
      <c r="D900" s="8"/>
      <c r="E900" s="14"/>
      <c r="F900" s="8"/>
      <c r="G900" s="2"/>
      <c r="H900" s="2"/>
    </row>
    <row r="901" customFormat="false" ht="15" hidden="false" customHeight="false" outlineLevel="0" collapsed="false">
      <c r="A901" s="11"/>
      <c r="B901" s="10"/>
      <c r="C901" s="8"/>
      <c r="D901" s="8"/>
      <c r="E901" s="14"/>
      <c r="F901" s="8"/>
      <c r="G901" s="2"/>
      <c r="H901" s="2"/>
    </row>
    <row r="902" customFormat="false" ht="15" hidden="false" customHeight="false" outlineLevel="0" collapsed="false">
      <c r="A902" s="11"/>
      <c r="B902" s="10"/>
      <c r="C902" s="8"/>
      <c r="D902" s="8"/>
      <c r="E902" s="14"/>
      <c r="F902" s="8"/>
      <c r="G902" s="2"/>
      <c r="H902" s="2"/>
    </row>
    <row r="903" customFormat="false" ht="15" hidden="false" customHeight="false" outlineLevel="0" collapsed="false">
      <c r="A903" s="11"/>
      <c r="B903" s="10"/>
      <c r="C903" s="8"/>
      <c r="D903" s="8"/>
      <c r="E903" s="14"/>
      <c r="F903" s="8"/>
      <c r="G903" s="2"/>
      <c r="H903" s="2"/>
    </row>
    <row r="904" customFormat="false" ht="15" hidden="false" customHeight="false" outlineLevel="0" collapsed="false">
      <c r="A904" s="11"/>
      <c r="B904" s="10"/>
      <c r="C904" s="8"/>
      <c r="D904" s="8"/>
      <c r="E904" s="14"/>
      <c r="F904" s="8"/>
      <c r="G904" s="2"/>
      <c r="H904" s="2"/>
    </row>
    <row r="905" customFormat="false" ht="15" hidden="false" customHeight="false" outlineLevel="0" collapsed="false">
      <c r="A905" s="11"/>
      <c r="B905" s="10"/>
      <c r="C905" s="8"/>
      <c r="D905" s="8"/>
      <c r="E905" s="14"/>
      <c r="F905" s="8"/>
      <c r="G905" s="2"/>
      <c r="H905" s="2"/>
    </row>
    <row r="906" customFormat="false" ht="15" hidden="false" customHeight="false" outlineLevel="0" collapsed="false">
      <c r="A906" s="11"/>
      <c r="B906" s="10"/>
      <c r="C906" s="8"/>
      <c r="D906" s="8"/>
      <c r="E906" s="14"/>
      <c r="F906" s="8"/>
      <c r="G906" s="2"/>
      <c r="H906" s="2"/>
    </row>
    <row r="907" customFormat="false" ht="15" hidden="false" customHeight="false" outlineLevel="0" collapsed="false">
      <c r="A907" s="11"/>
      <c r="B907" s="10"/>
      <c r="C907" s="8"/>
      <c r="D907" s="8"/>
      <c r="E907" s="14"/>
      <c r="F907" s="8"/>
      <c r="G907" s="2"/>
      <c r="H907" s="2"/>
    </row>
    <row r="908" customFormat="false" ht="15" hidden="false" customHeight="false" outlineLevel="0" collapsed="false">
      <c r="A908" s="11"/>
      <c r="B908" s="10"/>
      <c r="C908" s="8"/>
      <c r="D908" s="8"/>
      <c r="E908" s="14"/>
      <c r="F908" s="8"/>
      <c r="G908" s="2"/>
      <c r="H908" s="2"/>
    </row>
    <row r="909" customFormat="false" ht="15" hidden="false" customHeight="false" outlineLevel="0" collapsed="false">
      <c r="A909" s="11"/>
      <c r="B909" s="10"/>
      <c r="C909" s="8"/>
      <c r="D909" s="8"/>
      <c r="E909" s="14"/>
      <c r="F909" s="8"/>
      <c r="G909" s="2"/>
      <c r="H909" s="2"/>
    </row>
    <row r="910" customFormat="false" ht="15" hidden="false" customHeight="false" outlineLevel="0" collapsed="false">
      <c r="A910" s="11"/>
      <c r="B910" s="10"/>
      <c r="C910" s="8"/>
      <c r="D910" s="8"/>
      <c r="E910" s="14"/>
      <c r="F910" s="8"/>
      <c r="G910" s="2"/>
      <c r="H910" s="2"/>
    </row>
    <row r="911" customFormat="false" ht="15" hidden="false" customHeight="false" outlineLevel="0" collapsed="false">
      <c r="A911" s="11"/>
      <c r="B911" s="10"/>
      <c r="C911" s="8"/>
      <c r="D911" s="8"/>
      <c r="E911" s="14"/>
      <c r="F911" s="8"/>
      <c r="G911" s="2"/>
      <c r="H911" s="2"/>
    </row>
    <row r="912" customFormat="false" ht="15" hidden="false" customHeight="false" outlineLevel="0" collapsed="false">
      <c r="A912" s="11"/>
      <c r="B912" s="10"/>
      <c r="C912" s="8"/>
      <c r="D912" s="8"/>
      <c r="E912" s="14"/>
      <c r="F912" s="8"/>
      <c r="G912" s="2"/>
      <c r="H912" s="2"/>
    </row>
    <row r="913" customFormat="false" ht="15" hidden="false" customHeight="false" outlineLevel="0" collapsed="false">
      <c r="A913" s="11"/>
      <c r="B913" s="10"/>
      <c r="C913" s="8"/>
      <c r="D913" s="8"/>
      <c r="E913" s="14"/>
      <c r="F913" s="8"/>
      <c r="G913" s="2"/>
      <c r="H913" s="2"/>
    </row>
    <row r="914" customFormat="false" ht="15" hidden="false" customHeight="false" outlineLevel="0" collapsed="false">
      <c r="A914" s="11"/>
      <c r="B914" s="10"/>
      <c r="C914" s="8"/>
      <c r="D914" s="8"/>
      <c r="E914" s="14"/>
      <c r="F914" s="8"/>
      <c r="G914" s="2"/>
      <c r="H914" s="2"/>
    </row>
    <row r="915" customFormat="false" ht="15" hidden="false" customHeight="false" outlineLevel="0" collapsed="false">
      <c r="A915" s="11"/>
      <c r="B915" s="10"/>
      <c r="C915" s="8"/>
      <c r="D915" s="8"/>
      <c r="E915" s="14"/>
      <c r="F915" s="8"/>
      <c r="G915" s="2"/>
      <c r="H915" s="2"/>
    </row>
    <row r="916" customFormat="false" ht="15" hidden="false" customHeight="false" outlineLevel="0" collapsed="false">
      <c r="A916" s="11"/>
      <c r="B916" s="10"/>
      <c r="C916" s="8"/>
      <c r="D916" s="8"/>
      <c r="E916" s="14"/>
      <c r="F916" s="8"/>
      <c r="G916" s="2"/>
      <c r="H916" s="2"/>
    </row>
    <row r="917" customFormat="false" ht="15" hidden="false" customHeight="false" outlineLevel="0" collapsed="false">
      <c r="A917" s="11"/>
      <c r="B917" s="10"/>
      <c r="C917" s="8"/>
      <c r="D917" s="8"/>
      <c r="E917" s="14"/>
      <c r="F917" s="8"/>
      <c r="G917" s="2"/>
      <c r="H917" s="2"/>
    </row>
    <row r="918" customFormat="false" ht="15" hidden="false" customHeight="false" outlineLevel="0" collapsed="false">
      <c r="A918" s="11"/>
      <c r="B918" s="10"/>
      <c r="C918" s="8"/>
      <c r="D918" s="8"/>
      <c r="E918" s="14"/>
      <c r="F918" s="8"/>
      <c r="G918" s="2"/>
      <c r="H918" s="2"/>
    </row>
    <row r="919" customFormat="false" ht="15" hidden="false" customHeight="false" outlineLevel="0" collapsed="false">
      <c r="A919" s="11"/>
      <c r="B919" s="10"/>
      <c r="C919" s="8"/>
      <c r="D919" s="8"/>
      <c r="E919" s="14"/>
      <c r="F919" s="8"/>
      <c r="G919" s="2"/>
      <c r="H919" s="2"/>
    </row>
    <row r="920" customFormat="false" ht="15" hidden="false" customHeight="false" outlineLevel="0" collapsed="false">
      <c r="A920" s="11"/>
      <c r="B920" s="10"/>
      <c r="C920" s="8"/>
      <c r="D920" s="8"/>
      <c r="E920" s="14"/>
      <c r="F920" s="8"/>
      <c r="G920" s="2"/>
      <c r="H920" s="2"/>
    </row>
    <row r="921" customFormat="false" ht="15" hidden="false" customHeight="false" outlineLevel="0" collapsed="false">
      <c r="A921" s="11"/>
      <c r="B921" s="10"/>
      <c r="C921" s="8"/>
      <c r="D921" s="8"/>
      <c r="E921" s="14"/>
      <c r="F921" s="8"/>
      <c r="G921" s="2"/>
      <c r="H921" s="2"/>
    </row>
    <row r="922" customFormat="false" ht="15" hidden="false" customHeight="false" outlineLevel="0" collapsed="false">
      <c r="A922" s="11"/>
      <c r="B922" s="10"/>
      <c r="C922" s="8"/>
      <c r="D922" s="8"/>
      <c r="E922" s="14"/>
      <c r="F922" s="8"/>
      <c r="G922" s="2"/>
      <c r="H922" s="2"/>
    </row>
    <row r="923" customFormat="false" ht="15" hidden="false" customHeight="false" outlineLevel="0" collapsed="false">
      <c r="A923" s="11"/>
      <c r="B923" s="10"/>
      <c r="C923" s="8"/>
      <c r="D923" s="8"/>
      <c r="E923" s="14"/>
      <c r="F923" s="8"/>
      <c r="G923" s="2"/>
      <c r="H923" s="2"/>
    </row>
    <row r="924" customFormat="false" ht="15" hidden="false" customHeight="false" outlineLevel="0" collapsed="false">
      <c r="A924" s="11"/>
      <c r="B924" s="10"/>
      <c r="C924" s="8"/>
      <c r="D924" s="8"/>
      <c r="E924" s="14"/>
      <c r="F924" s="8"/>
      <c r="G924" s="2"/>
      <c r="H924" s="2"/>
    </row>
    <row r="925" customFormat="false" ht="15" hidden="false" customHeight="false" outlineLevel="0" collapsed="false">
      <c r="A925" s="11"/>
      <c r="B925" s="10"/>
      <c r="C925" s="8"/>
      <c r="D925" s="8"/>
      <c r="E925" s="14"/>
      <c r="F925" s="8"/>
      <c r="G925" s="2"/>
      <c r="H925" s="2"/>
    </row>
    <row r="926" customFormat="false" ht="15" hidden="false" customHeight="false" outlineLevel="0" collapsed="false">
      <c r="A926" s="11"/>
      <c r="B926" s="10"/>
      <c r="C926" s="8"/>
      <c r="D926" s="8"/>
      <c r="E926" s="14"/>
      <c r="F926" s="8"/>
      <c r="G926" s="2"/>
      <c r="H926" s="2"/>
    </row>
    <row r="927" customFormat="false" ht="15" hidden="false" customHeight="false" outlineLevel="0" collapsed="false">
      <c r="A927" s="11"/>
      <c r="B927" s="10"/>
      <c r="C927" s="8"/>
      <c r="D927" s="8"/>
      <c r="E927" s="14"/>
      <c r="F927" s="8"/>
      <c r="G927" s="2"/>
      <c r="H927" s="2"/>
    </row>
    <row r="928" customFormat="false" ht="15" hidden="false" customHeight="false" outlineLevel="0" collapsed="false">
      <c r="A928" s="11"/>
      <c r="B928" s="10"/>
      <c r="C928" s="8"/>
      <c r="D928" s="8"/>
      <c r="E928" s="14"/>
      <c r="F928" s="8"/>
      <c r="G928" s="2"/>
      <c r="H928" s="2"/>
    </row>
    <row r="929" customFormat="false" ht="15" hidden="false" customHeight="false" outlineLevel="0" collapsed="false">
      <c r="A929" s="11"/>
      <c r="B929" s="10"/>
      <c r="C929" s="8"/>
      <c r="D929" s="8"/>
      <c r="E929" s="14"/>
      <c r="F929" s="8"/>
      <c r="G929" s="2"/>
      <c r="H929" s="2"/>
    </row>
    <row r="930" customFormat="false" ht="15" hidden="false" customHeight="false" outlineLevel="0" collapsed="false">
      <c r="A930" s="11"/>
      <c r="B930" s="10"/>
      <c r="C930" s="8"/>
      <c r="D930" s="8"/>
      <c r="E930" s="14"/>
      <c r="F930" s="8"/>
      <c r="G930" s="2"/>
      <c r="H930" s="2"/>
    </row>
    <row r="931" customFormat="false" ht="15" hidden="false" customHeight="false" outlineLevel="0" collapsed="false">
      <c r="A931" s="11"/>
      <c r="B931" s="10"/>
      <c r="C931" s="8"/>
      <c r="D931" s="8"/>
      <c r="E931" s="14"/>
      <c r="F931" s="8"/>
      <c r="G931" s="2"/>
      <c r="H931" s="2"/>
    </row>
    <row r="932" customFormat="false" ht="15" hidden="false" customHeight="false" outlineLevel="0" collapsed="false">
      <c r="A932" s="11"/>
      <c r="B932" s="10"/>
      <c r="C932" s="8"/>
      <c r="D932" s="8"/>
      <c r="E932" s="14"/>
      <c r="F932" s="8"/>
      <c r="G932" s="2"/>
      <c r="H932" s="2"/>
    </row>
    <row r="933" customFormat="false" ht="15" hidden="false" customHeight="false" outlineLevel="0" collapsed="false">
      <c r="A933" s="11"/>
      <c r="B933" s="10"/>
      <c r="C933" s="8"/>
      <c r="D933" s="8"/>
      <c r="E933" s="14"/>
      <c r="F933" s="8"/>
      <c r="G933" s="2"/>
      <c r="H933" s="2"/>
    </row>
    <row r="934" customFormat="false" ht="15" hidden="false" customHeight="false" outlineLevel="0" collapsed="false">
      <c r="A934" s="11"/>
      <c r="B934" s="10"/>
      <c r="C934" s="8"/>
      <c r="D934" s="8"/>
      <c r="E934" s="14"/>
      <c r="F934" s="8"/>
      <c r="G934" s="2"/>
      <c r="H934" s="2"/>
    </row>
    <row r="935" customFormat="false" ht="15" hidden="false" customHeight="false" outlineLevel="0" collapsed="false">
      <c r="A935" s="11"/>
      <c r="B935" s="10"/>
      <c r="C935" s="8"/>
      <c r="D935" s="8"/>
      <c r="E935" s="14"/>
      <c r="F935" s="8"/>
      <c r="G935" s="2"/>
      <c r="H935" s="2"/>
    </row>
    <row r="936" customFormat="false" ht="15" hidden="false" customHeight="false" outlineLevel="0" collapsed="false">
      <c r="A936" s="11"/>
      <c r="B936" s="10"/>
      <c r="C936" s="8"/>
      <c r="D936" s="8"/>
      <c r="E936" s="14"/>
      <c r="F936" s="8"/>
      <c r="G936" s="2"/>
      <c r="H936" s="2"/>
    </row>
    <row r="937" customFormat="false" ht="15" hidden="false" customHeight="false" outlineLevel="0" collapsed="false">
      <c r="A937" s="11"/>
      <c r="B937" s="10"/>
      <c r="C937" s="8"/>
      <c r="D937" s="8"/>
      <c r="E937" s="14"/>
      <c r="F937" s="8"/>
      <c r="G937" s="2"/>
      <c r="H937" s="2"/>
    </row>
    <row r="938" customFormat="false" ht="15" hidden="false" customHeight="false" outlineLevel="0" collapsed="false">
      <c r="A938" s="11"/>
      <c r="B938" s="10"/>
      <c r="C938" s="8"/>
      <c r="D938" s="8"/>
      <c r="E938" s="14"/>
      <c r="F938" s="8"/>
      <c r="G938" s="2"/>
      <c r="H938" s="2"/>
    </row>
    <row r="939" customFormat="false" ht="15" hidden="false" customHeight="false" outlineLevel="0" collapsed="false">
      <c r="A939" s="11"/>
      <c r="B939" s="10"/>
      <c r="C939" s="8"/>
      <c r="D939" s="8"/>
      <c r="E939" s="14"/>
      <c r="F939" s="8"/>
      <c r="G939" s="2"/>
      <c r="H939" s="2"/>
    </row>
    <row r="940" customFormat="false" ht="15" hidden="false" customHeight="false" outlineLevel="0" collapsed="false">
      <c r="A940" s="11"/>
      <c r="B940" s="10"/>
      <c r="C940" s="8"/>
      <c r="D940" s="8"/>
      <c r="E940" s="14"/>
      <c r="F940" s="8"/>
      <c r="G940" s="2"/>
      <c r="H940" s="2"/>
    </row>
    <row r="941" customFormat="false" ht="15" hidden="false" customHeight="false" outlineLevel="0" collapsed="false">
      <c r="A941" s="11"/>
      <c r="B941" s="10"/>
      <c r="C941" s="8"/>
      <c r="D941" s="8"/>
      <c r="E941" s="14"/>
      <c r="F941" s="8"/>
      <c r="G941" s="2"/>
      <c r="H941" s="2"/>
    </row>
    <row r="942" customFormat="false" ht="15" hidden="false" customHeight="false" outlineLevel="0" collapsed="false">
      <c r="A942" s="11"/>
      <c r="B942" s="10"/>
      <c r="C942" s="8"/>
      <c r="D942" s="8"/>
      <c r="E942" s="14"/>
      <c r="F942" s="8"/>
      <c r="G942" s="2"/>
      <c r="H942" s="2"/>
    </row>
    <row r="943" customFormat="false" ht="15" hidden="false" customHeight="false" outlineLevel="0" collapsed="false">
      <c r="A943" s="11"/>
      <c r="B943" s="10"/>
      <c r="C943" s="8"/>
      <c r="D943" s="8"/>
      <c r="E943" s="14"/>
      <c r="F943" s="8"/>
      <c r="G943" s="2"/>
      <c r="H943" s="2"/>
    </row>
    <row r="944" customFormat="false" ht="15" hidden="false" customHeight="false" outlineLevel="0" collapsed="false">
      <c r="A944" s="11"/>
      <c r="B944" s="10"/>
      <c r="C944" s="8"/>
      <c r="D944" s="8"/>
      <c r="E944" s="14"/>
      <c r="F944" s="8"/>
      <c r="G944" s="2"/>
      <c r="H944" s="2"/>
    </row>
    <row r="945" customFormat="false" ht="15" hidden="false" customHeight="false" outlineLevel="0" collapsed="false">
      <c r="A945" s="11"/>
      <c r="B945" s="10"/>
      <c r="C945" s="8"/>
      <c r="D945" s="8"/>
      <c r="E945" s="14"/>
      <c r="F945" s="8"/>
      <c r="G945" s="2"/>
      <c r="H945" s="2"/>
    </row>
    <row r="946" customFormat="false" ht="15" hidden="false" customHeight="false" outlineLevel="0" collapsed="false">
      <c r="A946" s="11"/>
      <c r="B946" s="10"/>
      <c r="C946" s="8"/>
      <c r="D946" s="8"/>
      <c r="E946" s="14"/>
      <c r="F946" s="8"/>
      <c r="G946" s="2"/>
      <c r="H946" s="2"/>
    </row>
    <row r="947" customFormat="false" ht="15" hidden="false" customHeight="false" outlineLevel="0" collapsed="false">
      <c r="A947" s="11"/>
      <c r="B947" s="10"/>
      <c r="C947" s="8"/>
      <c r="D947" s="8"/>
      <c r="E947" s="14"/>
      <c r="F947" s="8"/>
      <c r="G947" s="2"/>
      <c r="H947" s="2"/>
    </row>
    <row r="948" customFormat="false" ht="15" hidden="false" customHeight="false" outlineLevel="0" collapsed="false">
      <c r="A948" s="11"/>
      <c r="B948" s="10"/>
      <c r="C948" s="8"/>
      <c r="D948" s="8"/>
      <c r="E948" s="14"/>
      <c r="F948" s="8"/>
      <c r="G948" s="2"/>
      <c r="H948" s="2"/>
    </row>
    <row r="949" customFormat="false" ht="15" hidden="false" customHeight="false" outlineLevel="0" collapsed="false">
      <c r="A949" s="11"/>
      <c r="B949" s="10"/>
      <c r="C949" s="8"/>
      <c r="D949" s="8"/>
      <c r="E949" s="14"/>
      <c r="F949" s="8"/>
      <c r="G949" s="2"/>
      <c r="H949" s="2"/>
    </row>
    <row r="950" customFormat="false" ht="15" hidden="false" customHeight="false" outlineLevel="0" collapsed="false">
      <c r="A950" s="11"/>
      <c r="B950" s="10"/>
      <c r="C950" s="8"/>
      <c r="D950" s="8"/>
      <c r="E950" s="14"/>
      <c r="F950" s="8"/>
      <c r="G950" s="2"/>
      <c r="H950" s="2"/>
    </row>
    <row r="951" customFormat="false" ht="15" hidden="false" customHeight="false" outlineLevel="0" collapsed="false">
      <c r="A951" s="11"/>
      <c r="B951" s="10"/>
      <c r="C951" s="8"/>
      <c r="D951" s="8"/>
      <c r="E951" s="14"/>
      <c r="F951" s="8"/>
      <c r="G951" s="2"/>
      <c r="H951" s="2"/>
    </row>
    <row r="952" customFormat="false" ht="15" hidden="false" customHeight="false" outlineLevel="0" collapsed="false">
      <c r="A952" s="11"/>
      <c r="B952" s="10"/>
      <c r="C952" s="8"/>
      <c r="D952" s="8"/>
      <c r="E952" s="14"/>
      <c r="F952" s="8"/>
      <c r="G952" s="2"/>
      <c r="H952" s="2"/>
    </row>
    <row r="953" customFormat="false" ht="15" hidden="false" customHeight="false" outlineLevel="0" collapsed="false">
      <c r="A953" s="11"/>
      <c r="B953" s="10"/>
      <c r="C953" s="8"/>
      <c r="D953" s="8"/>
      <c r="E953" s="14"/>
      <c r="F953" s="8"/>
      <c r="G953" s="2"/>
      <c r="H953" s="2"/>
    </row>
    <row r="954" customFormat="false" ht="15" hidden="false" customHeight="false" outlineLevel="0" collapsed="false">
      <c r="A954" s="11"/>
      <c r="B954" s="10"/>
      <c r="C954" s="8"/>
      <c r="D954" s="8"/>
      <c r="E954" s="14"/>
      <c r="F954" s="8"/>
      <c r="G954" s="2"/>
      <c r="H954" s="2"/>
    </row>
    <row r="955" customFormat="false" ht="15" hidden="false" customHeight="false" outlineLevel="0" collapsed="false">
      <c r="A955" s="11"/>
      <c r="B955" s="10"/>
      <c r="C955" s="8"/>
      <c r="D955" s="8"/>
      <c r="E955" s="14"/>
      <c r="F955" s="8"/>
      <c r="G955" s="2"/>
      <c r="H955" s="2"/>
    </row>
    <row r="956" customFormat="false" ht="15" hidden="false" customHeight="false" outlineLevel="0" collapsed="false">
      <c r="A956" s="11"/>
      <c r="B956" s="10"/>
      <c r="C956" s="8"/>
      <c r="D956" s="8"/>
      <c r="E956" s="14"/>
      <c r="F956" s="8"/>
      <c r="G956" s="2"/>
      <c r="H956" s="2"/>
    </row>
    <row r="957" customFormat="false" ht="15" hidden="false" customHeight="false" outlineLevel="0" collapsed="false">
      <c r="A957" s="11"/>
      <c r="B957" s="10"/>
      <c r="C957" s="8"/>
      <c r="D957" s="8"/>
      <c r="E957" s="14"/>
      <c r="F957" s="8"/>
      <c r="G957" s="2"/>
      <c r="H957" s="2"/>
    </row>
    <row r="958" customFormat="false" ht="15" hidden="false" customHeight="false" outlineLevel="0" collapsed="false">
      <c r="A958" s="11"/>
      <c r="B958" s="10"/>
      <c r="C958" s="8"/>
      <c r="D958" s="8"/>
      <c r="E958" s="14"/>
      <c r="F958" s="8"/>
      <c r="G958" s="2"/>
      <c r="H958" s="2"/>
    </row>
    <row r="959" customFormat="false" ht="15" hidden="false" customHeight="false" outlineLevel="0" collapsed="false">
      <c r="A959" s="11"/>
      <c r="B959" s="10"/>
      <c r="C959" s="8"/>
      <c r="D959" s="8"/>
      <c r="E959" s="14"/>
      <c r="F959" s="8"/>
      <c r="G959" s="2"/>
      <c r="H959" s="2"/>
    </row>
    <row r="960" customFormat="false" ht="15" hidden="false" customHeight="false" outlineLevel="0" collapsed="false">
      <c r="A960" s="11"/>
      <c r="B960" s="10"/>
      <c r="C960" s="8"/>
      <c r="D960" s="8"/>
      <c r="E960" s="14"/>
      <c r="F960" s="8"/>
      <c r="G960" s="2"/>
      <c r="H960" s="2"/>
    </row>
    <row r="961" customFormat="false" ht="15" hidden="false" customHeight="false" outlineLevel="0" collapsed="false">
      <c r="A961" s="11"/>
      <c r="B961" s="10"/>
      <c r="C961" s="8"/>
      <c r="D961" s="8"/>
      <c r="E961" s="14"/>
      <c r="F961" s="8"/>
      <c r="G961" s="2"/>
      <c r="H961" s="2"/>
    </row>
    <row r="962" customFormat="false" ht="15" hidden="false" customHeight="false" outlineLevel="0" collapsed="false">
      <c r="A962" s="11"/>
      <c r="B962" s="10"/>
      <c r="C962" s="8"/>
      <c r="D962" s="8"/>
      <c r="E962" s="14"/>
      <c r="F962" s="8"/>
      <c r="G962" s="2"/>
      <c r="H962" s="2"/>
    </row>
    <row r="963" customFormat="false" ht="15" hidden="false" customHeight="false" outlineLevel="0" collapsed="false">
      <c r="A963" s="11"/>
      <c r="B963" s="10"/>
      <c r="C963" s="8"/>
      <c r="D963" s="8"/>
      <c r="E963" s="14"/>
      <c r="F963" s="8"/>
      <c r="G963" s="2"/>
      <c r="H963" s="2"/>
    </row>
    <row r="964" customFormat="false" ht="15" hidden="false" customHeight="false" outlineLevel="0" collapsed="false">
      <c r="A964" s="11"/>
      <c r="B964" s="10"/>
      <c r="C964" s="8"/>
      <c r="D964" s="8"/>
      <c r="E964" s="14"/>
      <c r="F964" s="8"/>
      <c r="G964" s="2"/>
      <c r="H964" s="2"/>
    </row>
    <row r="965" customFormat="false" ht="15" hidden="false" customHeight="false" outlineLevel="0" collapsed="false">
      <c r="A965" s="11"/>
      <c r="B965" s="10"/>
      <c r="C965" s="8"/>
      <c r="D965" s="8"/>
      <c r="E965" s="14"/>
      <c r="F965" s="8"/>
      <c r="G965" s="2"/>
      <c r="H965" s="2"/>
    </row>
    <row r="966" customFormat="false" ht="15" hidden="false" customHeight="false" outlineLevel="0" collapsed="false">
      <c r="A966" s="11"/>
      <c r="B966" s="10"/>
      <c r="C966" s="8"/>
      <c r="D966" s="8"/>
      <c r="E966" s="14"/>
      <c r="F966" s="8"/>
      <c r="G966" s="2"/>
      <c r="H966" s="2"/>
    </row>
    <row r="967" customFormat="false" ht="15" hidden="false" customHeight="false" outlineLevel="0" collapsed="false">
      <c r="A967" s="11"/>
      <c r="B967" s="10"/>
      <c r="C967" s="8"/>
      <c r="D967" s="8"/>
      <c r="E967" s="14"/>
      <c r="F967" s="8"/>
      <c r="G967" s="2"/>
      <c r="H967" s="2"/>
    </row>
    <row r="968" customFormat="false" ht="15" hidden="false" customHeight="false" outlineLevel="0" collapsed="false">
      <c r="A968" s="11"/>
      <c r="B968" s="10"/>
      <c r="C968" s="8"/>
      <c r="D968" s="8"/>
      <c r="E968" s="14"/>
      <c r="F968" s="8"/>
      <c r="G968" s="2"/>
      <c r="H968" s="2"/>
    </row>
    <row r="969" customFormat="false" ht="15" hidden="false" customHeight="false" outlineLevel="0" collapsed="false">
      <c r="A969" s="11"/>
      <c r="B969" s="10"/>
      <c r="C969" s="8"/>
      <c r="D969" s="8"/>
      <c r="E969" s="14"/>
      <c r="F969" s="8"/>
      <c r="G969" s="2"/>
      <c r="H969" s="2"/>
    </row>
    <row r="970" customFormat="false" ht="15" hidden="false" customHeight="false" outlineLevel="0" collapsed="false">
      <c r="A970" s="11"/>
      <c r="B970" s="10"/>
      <c r="C970" s="8"/>
      <c r="D970" s="8"/>
      <c r="E970" s="14"/>
      <c r="F970" s="8"/>
      <c r="G970" s="2"/>
      <c r="H970" s="2"/>
    </row>
    <row r="971" customFormat="false" ht="15" hidden="false" customHeight="false" outlineLevel="0" collapsed="false">
      <c r="A971" s="11"/>
      <c r="B971" s="10"/>
      <c r="C971" s="8"/>
      <c r="D971" s="8"/>
      <c r="E971" s="14"/>
      <c r="F971" s="8"/>
      <c r="G971" s="2"/>
      <c r="H971" s="2"/>
    </row>
    <row r="972" customFormat="false" ht="15" hidden="false" customHeight="false" outlineLevel="0" collapsed="false">
      <c r="A972" s="11"/>
      <c r="B972" s="10"/>
      <c r="C972" s="8"/>
      <c r="D972" s="8"/>
      <c r="E972" s="14"/>
      <c r="F972" s="8"/>
      <c r="G972" s="2"/>
      <c r="H972" s="2"/>
    </row>
    <row r="973" customFormat="false" ht="15" hidden="false" customHeight="false" outlineLevel="0" collapsed="false">
      <c r="A973" s="11"/>
      <c r="B973" s="10"/>
      <c r="C973" s="8"/>
      <c r="D973" s="8"/>
      <c r="E973" s="14"/>
      <c r="F973" s="8"/>
      <c r="G973" s="2"/>
      <c r="H973" s="2"/>
    </row>
    <row r="974" customFormat="false" ht="15" hidden="false" customHeight="false" outlineLevel="0" collapsed="false">
      <c r="A974" s="11"/>
      <c r="B974" s="10"/>
      <c r="C974" s="8"/>
      <c r="D974" s="8"/>
      <c r="E974" s="14"/>
      <c r="F974" s="8"/>
      <c r="G974" s="2"/>
      <c r="H974" s="2"/>
    </row>
    <row r="975" customFormat="false" ht="15" hidden="false" customHeight="false" outlineLevel="0" collapsed="false">
      <c r="A975" s="11"/>
      <c r="B975" s="10"/>
      <c r="C975" s="8"/>
      <c r="D975" s="8"/>
      <c r="E975" s="14"/>
      <c r="F975" s="8"/>
      <c r="G975" s="2"/>
      <c r="H975" s="2"/>
    </row>
    <row r="976" customFormat="false" ht="15" hidden="false" customHeight="false" outlineLevel="0" collapsed="false">
      <c r="A976" s="11"/>
      <c r="B976" s="10"/>
      <c r="C976" s="8"/>
      <c r="D976" s="8"/>
      <c r="E976" s="14"/>
      <c r="F976" s="8"/>
      <c r="G976" s="2"/>
      <c r="H976" s="2"/>
    </row>
    <row r="977" customFormat="false" ht="15" hidden="false" customHeight="false" outlineLevel="0" collapsed="false">
      <c r="A977" s="11"/>
      <c r="B977" s="10"/>
      <c r="C977" s="8"/>
      <c r="D977" s="8"/>
      <c r="E977" s="14"/>
      <c r="F977" s="8"/>
      <c r="G977" s="2"/>
      <c r="H977" s="2"/>
    </row>
    <row r="978" customFormat="false" ht="15" hidden="false" customHeight="false" outlineLevel="0" collapsed="false">
      <c r="A978" s="11"/>
      <c r="B978" s="10"/>
      <c r="C978" s="8"/>
      <c r="D978" s="8"/>
      <c r="E978" s="14"/>
      <c r="F978" s="8"/>
      <c r="G978" s="2"/>
      <c r="H978" s="2"/>
    </row>
    <row r="979" customFormat="false" ht="15" hidden="false" customHeight="false" outlineLevel="0" collapsed="false">
      <c r="A979" s="11"/>
      <c r="B979" s="10"/>
      <c r="C979" s="8"/>
      <c r="D979" s="8"/>
      <c r="E979" s="14"/>
      <c r="F979" s="8"/>
      <c r="G979" s="2"/>
      <c r="H979" s="2"/>
    </row>
    <row r="980" customFormat="false" ht="15" hidden="false" customHeight="false" outlineLevel="0" collapsed="false">
      <c r="A980" s="11"/>
      <c r="B980" s="10"/>
      <c r="C980" s="8"/>
      <c r="D980" s="8"/>
      <c r="E980" s="14"/>
      <c r="F980" s="8"/>
      <c r="G980" s="2"/>
      <c r="H980" s="2"/>
    </row>
    <row r="981" customFormat="false" ht="15" hidden="false" customHeight="false" outlineLevel="0" collapsed="false">
      <c r="A981" s="11"/>
      <c r="B981" s="10"/>
      <c r="C981" s="8"/>
      <c r="D981" s="8"/>
      <c r="E981" s="14"/>
      <c r="F981" s="8"/>
      <c r="G981" s="2"/>
      <c r="H981" s="2"/>
    </row>
    <row r="982" customFormat="false" ht="15" hidden="false" customHeight="false" outlineLevel="0" collapsed="false">
      <c r="A982" s="11"/>
      <c r="B982" s="10"/>
      <c r="C982" s="8"/>
      <c r="D982" s="8"/>
      <c r="E982" s="14"/>
      <c r="F982" s="8"/>
      <c r="G982" s="2"/>
      <c r="H982" s="2"/>
    </row>
    <row r="983" customFormat="false" ht="15" hidden="false" customHeight="false" outlineLevel="0" collapsed="false">
      <c r="A983" s="11"/>
      <c r="B983" s="10"/>
      <c r="C983" s="8"/>
      <c r="D983" s="8"/>
      <c r="E983" s="14"/>
      <c r="F983" s="8"/>
      <c r="G983" s="2"/>
      <c r="H983" s="2"/>
    </row>
    <row r="984" customFormat="false" ht="15" hidden="false" customHeight="false" outlineLevel="0" collapsed="false">
      <c r="A984" s="11"/>
      <c r="B984" s="10"/>
      <c r="C984" s="8"/>
      <c r="D984" s="8"/>
      <c r="E984" s="14"/>
      <c r="F984" s="8"/>
      <c r="G984" s="2"/>
      <c r="H984" s="2"/>
    </row>
    <row r="985" customFormat="false" ht="15" hidden="false" customHeight="false" outlineLevel="0" collapsed="false">
      <c r="A985" s="11"/>
      <c r="B985" s="10"/>
      <c r="C985" s="8"/>
      <c r="D985" s="8"/>
      <c r="E985" s="14"/>
      <c r="F985" s="8"/>
      <c r="G985" s="2"/>
      <c r="H985" s="2"/>
    </row>
    <row r="986" customFormat="false" ht="15" hidden="false" customHeight="false" outlineLevel="0" collapsed="false">
      <c r="A986" s="11"/>
      <c r="B986" s="10"/>
      <c r="C986" s="8"/>
      <c r="D986" s="8"/>
      <c r="E986" s="14"/>
      <c r="F986" s="8"/>
      <c r="G986" s="2"/>
      <c r="H986" s="2"/>
    </row>
    <row r="987" customFormat="false" ht="15" hidden="false" customHeight="false" outlineLevel="0" collapsed="false">
      <c r="A987" s="11"/>
      <c r="B987" s="10"/>
      <c r="C987" s="8"/>
      <c r="D987" s="8"/>
      <c r="E987" s="14"/>
      <c r="F987" s="8"/>
      <c r="G987" s="2"/>
      <c r="H987" s="2"/>
    </row>
    <row r="988" customFormat="false" ht="15" hidden="false" customHeight="false" outlineLevel="0" collapsed="false">
      <c r="A988" s="11"/>
      <c r="B988" s="10"/>
      <c r="C988" s="8"/>
      <c r="D988" s="8"/>
      <c r="E988" s="14"/>
      <c r="F988" s="8"/>
      <c r="G988" s="2"/>
      <c r="H988" s="2"/>
    </row>
    <row r="989" customFormat="false" ht="15" hidden="false" customHeight="false" outlineLevel="0" collapsed="false">
      <c r="A989" s="11"/>
      <c r="B989" s="10"/>
      <c r="C989" s="8"/>
      <c r="D989" s="8"/>
      <c r="E989" s="14"/>
      <c r="F989" s="8"/>
      <c r="G989" s="2"/>
      <c r="H989" s="2"/>
    </row>
    <row r="990" customFormat="false" ht="15" hidden="false" customHeight="false" outlineLevel="0" collapsed="false">
      <c r="A990" s="11"/>
      <c r="B990" s="10"/>
      <c r="C990" s="8"/>
      <c r="D990" s="8"/>
      <c r="E990" s="14"/>
      <c r="F990" s="8"/>
      <c r="G990" s="2"/>
      <c r="H990" s="2"/>
    </row>
    <row r="991" customFormat="false" ht="15" hidden="false" customHeight="false" outlineLevel="0" collapsed="false">
      <c r="A991" s="11"/>
      <c r="B991" s="10"/>
      <c r="C991" s="8"/>
      <c r="D991" s="8"/>
      <c r="E991" s="14"/>
      <c r="F991" s="8"/>
      <c r="G991" s="2"/>
      <c r="H991" s="2"/>
    </row>
    <row r="992" customFormat="false" ht="15" hidden="false" customHeight="false" outlineLevel="0" collapsed="false">
      <c r="A992" s="11"/>
      <c r="B992" s="10"/>
      <c r="C992" s="8"/>
      <c r="D992" s="8"/>
      <c r="E992" s="14"/>
      <c r="F992" s="8"/>
      <c r="G992" s="2"/>
      <c r="H992" s="2"/>
    </row>
    <row r="993" customFormat="false" ht="15" hidden="false" customHeight="false" outlineLevel="0" collapsed="false">
      <c r="A993" s="11"/>
      <c r="B993" s="10"/>
      <c r="C993" s="8"/>
      <c r="D993" s="8"/>
      <c r="E993" s="14"/>
      <c r="F993" s="8"/>
      <c r="G993" s="2"/>
      <c r="H993" s="2"/>
    </row>
    <row r="994" customFormat="false" ht="15" hidden="false" customHeight="false" outlineLevel="0" collapsed="false">
      <c r="A994" s="11"/>
      <c r="B994" s="10"/>
      <c r="C994" s="8"/>
      <c r="D994" s="8"/>
      <c r="E994" s="14"/>
      <c r="F994" s="8"/>
      <c r="G994" s="2"/>
      <c r="H994" s="2"/>
    </row>
    <row r="995" customFormat="false" ht="15" hidden="false" customHeight="false" outlineLevel="0" collapsed="false">
      <c r="A995" s="11"/>
      <c r="B995" s="10"/>
      <c r="C995" s="8"/>
      <c r="D995" s="8"/>
      <c r="E995" s="14"/>
      <c r="F995" s="8"/>
      <c r="G995" s="2"/>
      <c r="H995" s="2"/>
    </row>
    <row r="996" customFormat="false" ht="15" hidden="false" customHeight="false" outlineLevel="0" collapsed="false">
      <c r="A996" s="11"/>
      <c r="B996" s="10"/>
      <c r="C996" s="8"/>
      <c r="D996" s="8"/>
      <c r="E996" s="14"/>
      <c r="F996" s="8"/>
      <c r="G996" s="2"/>
      <c r="H996" s="2"/>
    </row>
    <row r="997" customFormat="false" ht="15" hidden="false" customHeight="false" outlineLevel="0" collapsed="false">
      <c r="A997" s="11"/>
      <c r="B997" s="10"/>
      <c r="C997" s="8"/>
      <c r="D997" s="8"/>
      <c r="E997" s="14"/>
      <c r="F997" s="8"/>
      <c r="G997" s="2"/>
      <c r="H997" s="2"/>
    </row>
    <row r="998" customFormat="false" ht="15" hidden="false" customHeight="false" outlineLevel="0" collapsed="false">
      <c r="A998" s="11"/>
      <c r="B998" s="10"/>
      <c r="C998" s="8"/>
      <c r="D998" s="8"/>
      <c r="E998" s="14"/>
      <c r="F998" s="8"/>
      <c r="G998" s="2"/>
      <c r="H998" s="2"/>
    </row>
    <row r="999" customFormat="false" ht="15" hidden="false" customHeight="false" outlineLevel="0" collapsed="false">
      <c r="A999" s="11"/>
      <c r="B999" s="10"/>
      <c r="C999" s="8"/>
      <c r="D999" s="8"/>
      <c r="E999" s="14"/>
      <c r="F999" s="8"/>
      <c r="G999" s="2"/>
      <c r="H999" s="2"/>
    </row>
    <row r="1000" customFormat="false" ht="15" hidden="false" customHeight="false" outlineLevel="0" collapsed="false">
      <c r="A1000" s="11"/>
      <c r="B1000" s="10"/>
      <c r="C1000" s="8"/>
      <c r="D1000" s="8"/>
      <c r="E1000" s="14"/>
      <c r="F1000" s="8"/>
      <c r="G1000" s="2"/>
      <c r="H1000" s="2"/>
    </row>
    <row r="1001" customFormat="false" ht="15" hidden="false" customHeight="false" outlineLevel="0" collapsed="false">
      <c r="A1001" s="11"/>
      <c r="B1001" s="10"/>
      <c r="C1001" s="8"/>
      <c r="D1001" s="8"/>
      <c r="E1001" s="14"/>
      <c r="F1001" s="8"/>
      <c r="G1001" s="2"/>
      <c r="H1001" s="2"/>
    </row>
    <row r="1002" customFormat="false" ht="15" hidden="false" customHeight="false" outlineLevel="0" collapsed="false">
      <c r="A1002" s="11"/>
      <c r="B1002" s="10"/>
      <c r="C1002" s="8"/>
      <c r="D1002" s="8"/>
      <c r="E1002" s="14"/>
      <c r="F1002" s="8"/>
      <c r="G1002" s="2"/>
      <c r="H1002" s="2"/>
    </row>
    <row r="1003" customFormat="false" ht="15" hidden="false" customHeight="false" outlineLevel="0" collapsed="false">
      <c r="A1003" s="11"/>
      <c r="B1003" s="10"/>
      <c r="C1003" s="8"/>
      <c r="D1003" s="8"/>
      <c r="E1003" s="14"/>
      <c r="F1003" s="8"/>
      <c r="G1003" s="2"/>
      <c r="H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</row>
    <row r="1005" customFormat="false" ht="1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</row>
    <row r="1006" customFormat="false" ht="1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</row>
    <row r="1007" customFormat="false" ht="1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</row>
  </sheetData>
  <dataValidations count="2">
    <dataValidation allowBlank="true" errorStyle="stop" operator="between" showDropDown="false" showErrorMessage="false" showInputMessage="false" sqref="C4:C1003" type="list">
      <formula1>案件リスト</formula1>
      <formula2>0</formula2>
    </dataValidation>
    <dataValidation allowBlank="true" errorStyle="stop" operator="between" showDropDown="false" showErrorMessage="false" showInputMessage="false" sqref="B4:B1003" type="list">
      <formula1>メンバーリスト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7681"/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88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89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5" t="s">
        <v>90</v>
      </c>
      <c r="B3" s="5" t="s">
        <v>91</v>
      </c>
      <c r="C3" s="5" t="s">
        <v>9</v>
      </c>
      <c r="D3" s="5" t="s">
        <v>92</v>
      </c>
      <c r="E3" s="2"/>
      <c r="F3" s="2"/>
      <c r="G3" s="2"/>
      <c r="H3" s="2"/>
    </row>
    <row r="4" customFormat="false" ht="15" hidden="false" customHeight="false" outlineLevel="0" collapsed="false">
      <c r="A4" s="58" t="s">
        <v>93</v>
      </c>
      <c r="B4" s="58" t="s">
        <v>18</v>
      </c>
      <c r="C4" s="59" t="s">
        <v>21</v>
      </c>
      <c r="D4" s="58"/>
      <c r="E4" s="2"/>
      <c r="F4" s="2"/>
      <c r="G4" s="2"/>
      <c r="H4" s="2"/>
    </row>
    <row r="5" customFormat="false" ht="15" hidden="false" customHeight="false" outlineLevel="0" collapsed="false">
      <c r="A5" s="58" t="s">
        <v>93</v>
      </c>
      <c r="B5" s="58" t="s">
        <v>26</v>
      </c>
      <c r="C5" s="59" t="s">
        <v>21</v>
      </c>
      <c r="D5" s="58"/>
      <c r="E5" s="2"/>
      <c r="F5" s="2"/>
      <c r="G5" s="2"/>
      <c r="H5" s="2"/>
    </row>
    <row r="6" customFormat="false" ht="15" hidden="false" customHeight="false" outlineLevel="0" collapsed="false">
      <c r="A6" s="58" t="s">
        <v>94</v>
      </c>
      <c r="B6" s="58" t="s">
        <v>30</v>
      </c>
      <c r="C6" s="59" t="s">
        <v>21</v>
      </c>
      <c r="D6" s="58"/>
      <c r="E6" s="2"/>
      <c r="F6" s="2"/>
      <c r="G6" s="2"/>
      <c r="H6" s="2"/>
    </row>
    <row r="7" customFormat="false" ht="15" hidden="false" customHeight="false" outlineLevel="0" collapsed="false">
      <c r="A7" s="58"/>
      <c r="B7" s="58"/>
      <c r="C7" s="59"/>
      <c r="D7" s="58"/>
      <c r="E7" s="2"/>
      <c r="F7" s="2"/>
      <c r="G7" s="2"/>
      <c r="H7" s="2"/>
    </row>
    <row r="8" customFormat="false" ht="15" hidden="false" customHeight="false" outlineLevel="0" collapsed="false">
      <c r="A8" s="58"/>
      <c r="B8" s="58"/>
      <c r="C8" s="59"/>
      <c r="D8" s="58"/>
      <c r="E8" s="2"/>
      <c r="F8" s="2"/>
      <c r="G8" s="2"/>
      <c r="H8" s="2"/>
    </row>
    <row r="9" customFormat="false" ht="15" hidden="false" customHeight="false" outlineLevel="0" collapsed="false">
      <c r="A9" s="58"/>
      <c r="B9" s="58"/>
      <c r="C9" s="59"/>
      <c r="D9" s="58"/>
      <c r="E9" s="2"/>
      <c r="F9" s="2"/>
      <c r="G9" s="2"/>
      <c r="H9" s="2"/>
    </row>
    <row r="10" customFormat="false" ht="15" hidden="false" customHeight="false" outlineLevel="0" collapsed="false">
      <c r="A10" s="58"/>
      <c r="B10" s="58"/>
      <c r="C10" s="59"/>
      <c r="D10" s="58"/>
      <c r="E10" s="2"/>
      <c r="F10" s="2"/>
      <c r="G10" s="2"/>
      <c r="H10" s="2"/>
    </row>
    <row r="11" customFormat="false" ht="15" hidden="false" customHeight="false" outlineLevel="0" collapsed="false">
      <c r="A11" s="58"/>
      <c r="B11" s="58"/>
      <c r="C11" s="59"/>
      <c r="D11" s="58"/>
      <c r="E11" s="2"/>
      <c r="F11" s="2"/>
      <c r="G11" s="2"/>
      <c r="H11" s="2"/>
    </row>
    <row r="12" customFormat="false" ht="15" hidden="false" customHeight="false" outlineLevel="0" collapsed="false">
      <c r="A12" s="58"/>
      <c r="B12" s="58"/>
      <c r="C12" s="59"/>
      <c r="D12" s="58"/>
      <c r="E12" s="2"/>
      <c r="F12" s="2"/>
      <c r="G12" s="2"/>
      <c r="H12" s="2"/>
    </row>
    <row r="13" customFormat="false" ht="15" hidden="false" customHeight="false" outlineLevel="0" collapsed="false">
      <c r="A13" s="58"/>
      <c r="B13" s="58"/>
      <c r="C13" s="59"/>
      <c r="D13" s="58"/>
      <c r="E13" s="2"/>
      <c r="F13" s="2"/>
      <c r="G13" s="2"/>
      <c r="H13" s="2"/>
    </row>
    <row r="14" customFormat="false" ht="15" hidden="false" customHeight="false" outlineLevel="0" collapsed="false">
      <c r="A14" s="58"/>
      <c r="B14" s="58"/>
      <c r="C14" s="59"/>
      <c r="D14" s="58"/>
      <c r="E14" s="2"/>
      <c r="F14" s="2"/>
      <c r="G14" s="2"/>
      <c r="H14" s="2"/>
    </row>
    <row r="15" customFormat="false" ht="15" hidden="false" customHeight="false" outlineLevel="0" collapsed="false">
      <c r="A15" s="58"/>
      <c r="B15" s="58"/>
      <c r="C15" s="59"/>
      <c r="D15" s="58"/>
      <c r="E15" s="2"/>
      <c r="F15" s="2"/>
      <c r="G15" s="2"/>
      <c r="H15" s="2"/>
    </row>
    <row r="16" customFormat="false" ht="15" hidden="false" customHeight="false" outlineLevel="0" collapsed="false">
      <c r="A16" s="58"/>
      <c r="B16" s="58"/>
      <c r="C16" s="59"/>
      <c r="D16" s="58"/>
      <c r="E16" s="2"/>
      <c r="F16" s="2"/>
      <c r="G16" s="2"/>
      <c r="H16" s="2"/>
    </row>
    <row r="17" customFormat="false" ht="15" hidden="false" customHeight="false" outlineLevel="0" collapsed="false">
      <c r="A17" s="58"/>
      <c r="B17" s="58"/>
      <c r="C17" s="59"/>
      <c r="D17" s="58"/>
      <c r="E17" s="2"/>
      <c r="F17" s="2"/>
      <c r="G17" s="2"/>
      <c r="H17" s="2"/>
    </row>
    <row r="18" customFormat="false" ht="15" hidden="false" customHeight="false" outlineLevel="0" collapsed="false">
      <c r="A18" s="58"/>
      <c r="B18" s="58"/>
      <c r="C18" s="59"/>
      <c r="D18" s="58"/>
      <c r="E18" s="2"/>
      <c r="F18" s="2"/>
      <c r="G18" s="2"/>
      <c r="H18" s="2"/>
    </row>
    <row r="19" customFormat="false" ht="15" hidden="false" customHeight="false" outlineLevel="0" collapsed="false">
      <c r="A19" s="58"/>
      <c r="B19" s="58"/>
      <c r="C19" s="59"/>
      <c r="D19" s="58"/>
      <c r="E19" s="2"/>
      <c r="F19" s="2"/>
      <c r="G19" s="2"/>
      <c r="H19" s="2"/>
    </row>
    <row r="20" customFormat="false" ht="15" hidden="false" customHeight="false" outlineLevel="0" collapsed="false">
      <c r="A20" s="58"/>
      <c r="B20" s="58"/>
      <c r="C20" s="59"/>
      <c r="D20" s="58"/>
      <c r="E20" s="2"/>
      <c r="F20" s="2"/>
      <c r="G20" s="2"/>
      <c r="H20" s="2"/>
    </row>
    <row r="21" customFormat="false" ht="15" hidden="false" customHeight="false" outlineLevel="0" collapsed="false">
      <c r="A21" s="58"/>
      <c r="B21" s="58"/>
      <c r="C21" s="59"/>
      <c r="D21" s="58"/>
      <c r="E21" s="2"/>
      <c r="F21" s="2"/>
      <c r="G21" s="2"/>
      <c r="H21" s="2"/>
    </row>
    <row r="22" customFormat="false" ht="15" hidden="false" customHeight="false" outlineLevel="0" collapsed="false">
      <c r="A22" s="58"/>
      <c r="B22" s="58"/>
      <c r="C22" s="59"/>
      <c r="D22" s="58"/>
      <c r="E22" s="2"/>
      <c r="F22" s="2"/>
      <c r="G22" s="2"/>
      <c r="H22" s="2"/>
    </row>
    <row r="23" customFormat="false" ht="15" hidden="false" customHeight="false" outlineLevel="0" collapsed="false">
      <c r="A23" s="58"/>
      <c r="B23" s="58"/>
      <c r="C23" s="59"/>
      <c r="D23" s="58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</sheetData>
  <dataValidations count="1">
    <dataValidation allowBlank="true" errorStyle="stop" operator="between" showDropDown="false" showErrorMessage="false" showInputMessage="false" sqref="C4:C23" type="list">
      <formula1>"進行中,完了,保留"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95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96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5" t="s">
        <v>84</v>
      </c>
      <c r="B3" s="5" t="s">
        <v>97</v>
      </c>
      <c r="C3" s="5" t="s">
        <v>98</v>
      </c>
      <c r="D3" s="2"/>
      <c r="E3" s="48" t="s">
        <v>99</v>
      </c>
      <c r="F3" s="2"/>
      <c r="G3" s="2"/>
      <c r="H3" s="2"/>
      <c r="I3" s="2"/>
    </row>
    <row r="4" customFormat="false" ht="15" hidden="false" customHeight="false" outlineLevel="0" collapsed="false">
      <c r="A4" s="59" t="s">
        <v>20</v>
      </c>
      <c r="B4" s="58" t="s">
        <v>100</v>
      </c>
      <c r="C4" s="59" t="s">
        <v>101</v>
      </c>
      <c r="D4" s="2"/>
      <c r="E4" s="60" t="s">
        <v>102</v>
      </c>
      <c r="F4" s="58" t="s">
        <v>103</v>
      </c>
      <c r="G4" s="61" t="s">
        <v>104</v>
      </c>
      <c r="H4" s="2"/>
      <c r="I4" s="2"/>
    </row>
    <row r="5" customFormat="false" ht="15" hidden="false" customHeight="false" outlineLevel="0" collapsed="false">
      <c r="A5" s="59" t="s">
        <v>28</v>
      </c>
      <c r="B5" s="58" t="s">
        <v>105</v>
      </c>
      <c r="C5" s="59" t="s">
        <v>101</v>
      </c>
      <c r="D5" s="2"/>
      <c r="E5" s="60" t="s">
        <v>106</v>
      </c>
      <c r="F5" s="59" t="s">
        <v>107</v>
      </c>
      <c r="G5" s="3" t="s">
        <v>108</v>
      </c>
      <c r="H5" s="2"/>
      <c r="I5" s="2"/>
    </row>
    <row r="6" customFormat="false" ht="15" hidden="false" customHeight="false" outlineLevel="0" collapsed="false">
      <c r="A6" s="59" t="s">
        <v>109</v>
      </c>
      <c r="B6" s="58" t="s">
        <v>110</v>
      </c>
      <c r="C6" s="59" t="s">
        <v>111</v>
      </c>
      <c r="D6" s="2"/>
      <c r="E6" s="60" t="s">
        <v>112</v>
      </c>
      <c r="F6" s="58"/>
      <c r="G6" s="3" t="s">
        <v>113</v>
      </c>
      <c r="H6" s="2"/>
      <c r="I6" s="2"/>
    </row>
    <row r="7" customFormat="false" ht="15" hidden="false" customHeight="false" outlineLevel="0" collapsed="false">
      <c r="A7" s="59" t="s">
        <v>114</v>
      </c>
      <c r="B7" s="58" t="s">
        <v>115</v>
      </c>
      <c r="C7" s="59" t="s">
        <v>111</v>
      </c>
      <c r="D7" s="2"/>
      <c r="E7" s="60" t="s">
        <v>116</v>
      </c>
      <c r="F7" s="62"/>
      <c r="G7" s="3" t="s">
        <v>117</v>
      </c>
      <c r="H7" s="2"/>
      <c r="I7" s="2"/>
    </row>
    <row r="8" customFormat="false" ht="15" hidden="false" customHeight="false" outlineLevel="0" collapsed="false">
      <c r="A8" s="58"/>
      <c r="B8" s="58"/>
      <c r="C8" s="59"/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58"/>
      <c r="B9" s="58"/>
      <c r="C9" s="59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58"/>
      <c r="B10" s="58"/>
      <c r="C10" s="59"/>
      <c r="D10" s="2"/>
      <c r="E10" s="3" t="s">
        <v>118</v>
      </c>
      <c r="F10" s="2"/>
      <c r="G10" s="2"/>
      <c r="H10" s="2"/>
      <c r="I10" s="2"/>
    </row>
    <row r="11" customFormat="false" ht="15" hidden="false" customHeight="false" outlineLevel="0" collapsed="false">
      <c r="A11" s="58"/>
      <c r="B11" s="58"/>
      <c r="C11" s="59"/>
      <c r="D11" s="2"/>
      <c r="E11" s="63" t="s">
        <v>35</v>
      </c>
      <c r="F11" s="2"/>
      <c r="G11" s="2"/>
      <c r="H11" s="2"/>
      <c r="I11" s="2"/>
    </row>
    <row r="12" customFormat="false" ht="15" hidden="false" customHeight="false" outlineLevel="0" collapsed="false">
      <c r="A12" s="58"/>
      <c r="B12" s="58"/>
      <c r="C12" s="59"/>
      <c r="D12" s="2"/>
      <c r="E12" s="63" t="s">
        <v>21</v>
      </c>
      <c r="F12" s="2"/>
      <c r="G12" s="2"/>
      <c r="H12" s="2"/>
      <c r="I12" s="2"/>
    </row>
    <row r="13" customFormat="false" ht="15" hidden="false" customHeight="false" outlineLevel="0" collapsed="false">
      <c r="A13" s="58"/>
      <c r="B13" s="58"/>
      <c r="C13" s="59"/>
      <c r="D13" s="2"/>
      <c r="E13" s="63" t="s">
        <v>24</v>
      </c>
      <c r="F13" s="2"/>
      <c r="G13" s="2"/>
      <c r="H13" s="2"/>
      <c r="I13" s="2"/>
    </row>
    <row r="14" customFormat="false" ht="15" hidden="false" customHeight="false" outlineLevel="0" collapsed="false">
      <c r="A14" s="3" t="s">
        <v>119</v>
      </c>
      <c r="B14" s="2"/>
      <c r="C14" s="2"/>
      <c r="D14" s="2"/>
      <c r="E14" s="63" t="s">
        <v>32</v>
      </c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</sheetData>
  <dataValidations count="3">
    <dataValidation allowBlank="true" errorStyle="stop" operator="between" showDropDown="false" showErrorMessage="false" showInputMessage="false" sqref="C4:C13" type="list">
      <formula1>"新人,メンター"</formula1>
      <formula2>0</formula2>
    </dataValidation>
    <dataValidation allowBlank="true" errorStyle="stop" operator="between" showDropDown="false" showErrorMessage="false" showInputMessage="false" sqref="F4" type="list">
      <formula1>"ON,OFF"</formula1>
      <formula2>0</formula2>
    </dataValidation>
    <dataValidation allowBlank="true" errorStyle="stop" operator="between" showDropDown="false" showErrorMessage="false" showInputMessage="false" sqref="F5" type="list">
      <formula1>"下書き表示,即送信"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2026-09-08T04:15:52Z</dcterms:created>
  <dc:creator>openpyxl</dc:creator>
  <dc:description/>
  <dc:language>en-US</dc:language>
  <cp:lastModifiedBy/>
  <dcterms:modified xsi:type="dcterms:W3CDTF">2026-09-08T04:15:55Z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