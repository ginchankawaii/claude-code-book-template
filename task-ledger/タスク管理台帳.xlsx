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タスク" sheetId="1" state="visible" r:id="rId3"/>
    <sheet name="ダッシュボード" sheetId="2" state="visible" r:id="rId4"/>
    <sheet name="設定" sheetId="3" state="visible" r:id="rId5"/>
  </sheets>
  <definedNames>
    <definedName function="false" hidden="true" localSheetId="0" name="_xlnm._FilterDatabase" vbProcedure="false">タスク!$A$3:$K$503</definedName>
    <definedName function="false" hidden="false" name="メンバーリスト" vbProcedure="false">設定!$A$4:$A$13</definedName>
    <definedName function="false" hidden="false" name="状態リスト" vbProcedure="false">設定!$E$11:$E$14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<sst xmlns="http://schemas.openxmlformats.org/spreadsheetml/2006/main" count="86" uniqueCount="71">
  <si>
    <t xml:space="preserve">チームタスク管理台帳</t>
  </si>
  <si>
    <r>
      <rPr>
        <sz val="9"/>
        <color rgb="FF808080"/>
        <rFont val="WenQuanYi Zen Hei"/>
        <family val="2"/>
      </rPr>
      <t xml:space="preserve">使い方</t>
    </r>
    <r>
      <rPr>
        <sz val="9"/>
        <color rgb="FF808080"/>
        <rFont val="Yu Gothic"/>
        <family val="0"/>
        <charset val="1"/>
      </rPr>
      <t xml:space="preserve">: </t>
    </r>
    <r>
      <rPr>
        <sz val="9"/>
        <color rgb="FF808080"/>
        <rFont val="WenQuanYi Zen Hei"/>
        <family val="2"/>
      </rPr>
      <t xml:space="preserve">色付き</t>
    </r>
    <r>
      <rPr>
        <sz val="9"/>
        <color rgb="FF808080"/>
        <rFont val="Yu Gothic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薄黄色</t>
    </r>
    <r>
      <rPr>
        <sz val="9"/>
        <color rgb="FF808080"/>
        <rFont val="Yu Gothic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の列に入力。「アラート」列は自動計算なので触らない。状態を「完了」にできるのはメンターのみ</t>
    </r>
    <r>
      <rPr>
        <sz val="9"/>
        <color rgb="FF808080"/>
        <rFont val="Yu Gothic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新人は「レビュー待ち」まで</t>
    </r>
    <r>
      <rPr>
        <sz val="9"/>
        <color rgb="FF808080"/>
        <rFont val="Yu Gothic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。</t>
    </r>
    <r>
      <rPr>
        <sz val="9"/>
        <color rgb="FF808080"/>
        <rFont val="Yu Gothic"/>
        <family val="0"/>
        <charset val="1"/>
      </rPr>
      <t xml:space="preserve">1</t>
    </r>
    <r>
      <rPr>
        <sz val="9"/>
        <color rgb="FF808080"/>
        <rFont val="WenQuanYi Zen Hei"/>
        <family val="2"/>
      </rPr>
      <t xml:space="preserve">〜</t>
    </r>
    <r>
      <rPr>
        <sz val="9"/>
        <color rgb="FF808080"/>
        <rFont val="Yu Gothic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行目の例は削除して使ってください。</t>
    </r>
  </si>
  <si>
    <t xml:space="preserve">No</t>
  </si>
  <si>
    <t xml:space="preserve">タスク名</t>
  </si>
  <si>
    <t xml:space="preserve">担当</t>
  </si>
  <si>
    <t xml:space="preserve">依頼元</t>
  </si>
  <si>
    <t xml:space="preserve">期限</t>
  </si>
  <si>
    <t xml:space="preserve">状態</t>
  </si>
  <si>
    <t xml:space="preserve">アラート</t>
  </si>
  <si>
    <r>
      <rPr>
        <b val="true"/>
        <sz val="10"/>
        <color rgb="FFFFFFFF"/>
        <rFont val="WenQuanYi Zen Hei"/>
        <family val="2"/>
      </rPr>
      <t xml:space="preserve">完了の定義</t>
    </r>
    <r>
      <rPr>
        <b val="true"/>
        <sz val="10"/>
        <color rgb="FFFFFFFF"/>
        <rFont val="Yu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どうなったら完了か</t>
    </r>
    <r>
      <rPr>
        <b val="true"/>
        <sz val="10"/>
        <color rgb="FFFFFFFF"/>
        <rFont val="Yu Gothic"/>
        <family val="0"/>
        <charset val="1"/>
      </rPr>
      <t xml:space="preserve">)</t>
    </r>
  </si>
  <si>
    <t xml:space="preserve">メモ</t>
  </si>
  <si>
    <t xml:space="preserve">登録日</t>
  </si>
  <si>
    <t xml:space="preserve">完了日</t>
  </si>
  <si>
    <t xml:space="preserve">検証環境のスイッチ設定バックアップ取得</t>
  </si>
  <si>
    <r>
      <rPr>
        <sz val="10"/>
        <color rgb="FF000000"/>
        <rFont val="WenQuanYi Zen Hei"/>
        <family val="2"/>
      </rPr>
      <t xml:space="preserve">新人</t>
    </r>
    <r>
      <rPr>
        <sz val="10"/>
        <color rgb="FF000000"/>
        <rFont val="Yu Gothic"/>
        <family val="0"/>
        <charset val="1"/>
      </rPr>
      <t xml:space="preserve">A</t>
    </r>
  </si>
  <si>
    <r>
      <rPr>
        <sz val="10"/>
        <color rgb="FF000000"/>
        <rFont val="WenQuanYi Zen Hei"/>
        <family val="2"/>
      </rPr>
      <t xml:space="preserve">メンター</t>
    </r>
    <r>
      <rPr>
        <sz val="10"/>
        <color rgb="FF000000"/>
        <rFont val="Yu Gothic"/>
        <family val="0"/>
        <charset val="1"/>
      </rPr>
      <t xml:space="preserve">X</t>
    </r>
  </si>
  <si>
    <t xml:space="preserve">進行中</t>
  </si>
  <si>
    <r>
      <rPr>
        <sz val="10"/>
        <color rgb="FF000000"/>
        <rFont val="WenQuanYi Zen Hei"/>
        <family val="2"/>
      </rPr>
      <t xml:space="preserve">全台の</t>
    </r>
    <r>
      <rPr>
        <sz val="10"/>
        <color rgb="FF000000"/>
        <rFont val="Yu Gothic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を</t>
    </r>
    <r>
      <rPr>
        <sz val="10"/>
        <color rgb="FF000000"/>
        <rFont val="Yu Gothic"/>
        <family val="0"/>
        <charset val="1"/>
      </rPr>
      <t xml:space="preserve">Box</t>
    </r>
    <r>
      <rPr>
        <sz val="10"/>
        <color rgb="FF000000"/>
        <rFont val="WenQuanYi Zen Hei"/>
        <family val="2"/>
      </rPr>
      <t xml:space="preserve">の所定フォルダに保存し、メンターに報告</t>
    </r>
  </si>
  <si>
    <t xml:space="preserve">手順書は共有フォルダ参照</t>
  </si>
  <si>
    <t xml:space="preserve">週次報告資料のドラフト作成</t>
  </si>
  <si>
    <t xml:space="preserve">レビュー待ち</t>
  </si>
  <si>
    <t xml:space="preserve">テンプレに沿って作成し、レビュー待ちにする</t>
  </si>
  <si>
    <t xml:space="preserve">アカウント申請フォームの提出</t>
  </si>
  <si>
    <r>
      <rPr>
        <sz val="10"/>
        <color rgb="FF000000"/>
        <rFont val="WenQuanYi Zen Hei"/>
        <family val="2"/>
      </rPr>
      <t xml:space="preserve">新人</t>
    </r>
    <r>
      <rPr>
        <sz val="10"/>
        <color rgb="FF000000"/>
        <rFont val="Yu Gothic"/>
        <family val="0"/>
        <charset val="1"/>
      </rPr>
      <t xml:space="preserve">B</t>
    </r>
  </si>
  <si>
    <r>
      <rPr>
        <sz val="10"/>
        <color rgb="FF000000"/>
        <rFont val="WenQuanYi Zen Hei"/>
        <family val="2"/>
      </rPr>
      <t xml:space="preserve">リーダー</t>
    </r>
    <r>
      <rPr>
        <sz val="10"/>
        <color rgb="FF000000"/>
        <rFont val="Yu Gothic"/>
        <family val="0"/>
        <charset val="1"/>
      </rPr>
      <t xml:space="preserve">Y</t>
    </r>
  </si>
  <si>
    <t xml:space="preserve">未着手</t>
  </si>
  <si>
    <t xml:space="preserve">申請完了メールを受領したら完了</t>
  </si>
  <si>
    <t xml:space="preserve">承認者は課長</t>
  </si>
  <si>
    <r>
      <rPr>
        <b val="true"/>
        <sz val="14"/>
        <color rgb="FF1F3864"/>
        <rFont val="WenQuanYi Zen Hei"/>
        <family val="2"/>
      </rPr>
      <t xml:space="preserve">ダッシュボード</t>
    </r>
    <r>
      <rPr>
        <b val="true"/>
        <sz val="14"/>
        <color rgb="FF1F3864"/>
        <rFont val="Yu Gothic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朝会はこのシートを画面共有して</t>
    </r>
    <r>
      <rPr>
        <b val="true"/>
        <sz val="14"/>
        <color rgb="FF1F3864"/>
        <rFont val="Yu Gothic"/>
        <family val="0"/>
        <charset val="1"/>
      </rPr>
      <t xml:space="preserve">5</t>
    </r>
    <r>
      <rPr>
        <b val="true"/>
        <sz val="14"/>
        <color rgb="FF1F3864"/>
        <rFont val="WenQuanYi Zen Hei"/>
        <family val="2"/>
      </rPr>
      <t xml:space="preserve">分で読み合わせ</t>
    </r>
    <r>
      <rPr>
        <b val="true"/>
        <sz val="14"/>
        <color rgb="FF1F3864"/>
        <rFont val="Yu Gothic"/>
        <family val="0"/>
        <charset val="1"/>
      </rPr>
      <t xml:space="preserve">)</t>
    </r>
  </si>
  <si>
    <t xml:space="preserve">すべて自動計算です。このシートには入力しません。詳細はタスクシートで「アラート」列をフィルタしてください。</t>
  </si>
  <si>
    <t xml:space="preserve">🔴 期限超過</t>
  </si>
  <si>
    <t xml:space="preserve">🟡 今日期限</t>
  </si>
  <si>
    <t xml:space="preserve">🔵 レビュー待ち</t>
  </si>
  <si>
    <t xml:space="preserve">⚠ 期限未設定</t>
  </si>
  <si>
    <r>
      <rPr>
        <b val="true"/>
        <sz val="10"/>
        <color rgb="FF000000"/>
        <rFont val="WenQuanYi Zen Hei"/>
        <family val="2"/>
      </rPr>
      <t xml:space="preserve">進行中</t>
    </r>
    <r>
      <rPr>
        <b val="true"/>
        <sz val="10"/>
        <color rgb="FF000000"/>
        <rFont val="Yu Gothic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全体</t>
    </r>
    <r>
      <rPr>
        <b val="true"/>
        <sz val="10"/>
        <color rgb="FF000000"/>
        <rFont val="Yu Gothic"/>
        <family val="0"/>
        <charset val="1"/>
      </rPr>
      <t xml:space="preserve">)</t>
    </r>
  </si>
  <si>
    <t xml:space="preserve">担当者別サマリ</t>
  </si>
  <si>
    <t xml:space="preserve">🔴 超過</t>
  </si>
  <si>
    <t xml:space="preserve">🟡 今日</t>
  </si>
  <si>
    <t xml:space="preserve">仕掛かり計</t>
  </si>
  <si>
    <t xml:space="preserve">運用ルール</t>
  </si>
  <si>
    <r>
      <rPr>
        <sz val="10"/>
        <color rgb="FF000000"/>
        <rFont val="Yu Gothic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人に振った</t>
    </r>
    <r>
      <rPr>
        <sz val="10"/>
        <color rgb="FF000000"/>
        <rFont val="Yu Gothic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振られたタスクは必ずこの台帳に載せる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口頭・</t>
    </r>
    <r>
      <rPr>
        <sz val="10"/>
        <color rgb="FF000000"/>
        <rFont val="Yu Gothic"/>
        <family val="0"/>
        <charset val="1"/>
      </rPr>
      <t xml:space="preserve">Webex</t>
    </r>
    <r>
      <rPr>
        <sz val="10"/>
        <color rgb="FF000000"/>
        <rFont val="WenQuanYi Zen Hei"/>
        <family val="2"/>
      </rPr>
      <t xml:space="preserve">依頼も受けた側が登録</t>
    </r>
    <r>
      <rPr>
        <sz val="10"/>
        <color rgb="FF000000"/>
        <rFont val="Yu Gothic"/>
        <family val="0"/>
        <charset val="1"/>
      </rPr>
      <t xml:space="preserve">)</t>
    </r>
  </si>
  <si>
    <r>
      <rPr>
        <sz val="10"/>
        <color rgb="FF000000"/>
        <rFont val="Yu Gothic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期限なし禁止。</t>
    </r>
    <r>
      <rPr>
        <sz val="10"/>
        <color rgb="FF000000"/>
        <rFont val="Yu Gothic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Yu Gothic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日で終わる粒度まで分割する</t>
    </r>
  </si>
  <si>
    <r>
      <rPr>
        <sz val="10"/>
        <color rgb="FF000000"/>
        <rFont val="Yu Gothic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朝</t>
    </r>
    <r>
      <rPr>
        <sz val="10"/>
        <color rgb="FF000000"/>
        <rFont val="Yu Gothic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今日やるタスクを宣言 </t>
    </r>
    <r>
      <rPr>
        <sz val="10"/>
        <color rgb="FF000000"/>
        <rFont val="Yu Gothic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夕</t>
    </r>
    <r>
      <rPr>
        <sz val="10"/>
        <color rgb="FF000000"/>
        <rFont val="Yu Gothic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結果を報告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朝会でこのシートを読み合わせ</t>
    </r>
    <r>
      <rPr>
        <sz val="10"/>
        <color rgb="FF000000"/>
        <rFont val="Yu Gothic"/>
        <family val="0"/>
        <charset val="1"/>
      </rPr>
      <t xml:space="preserve">)</t>
    </r>
  </si>
  <si>
    <r>
      <rPr>
        <sz val="10"/>
        <color rgb="FF000000"/>
        <rFont val="Yu Gothic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新人は「レビュー待ち」まで。「完了」に変えるのはメンターだけ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完了の定義を満たしているか確認</t>
    </r>
    <r>
      <rPr>
        <sz val="10"/>
        <color rgb="FF000000"/>
        <rFont val="Yu Gothic"/>
        <family val="0"/>
        <charset val="1"/>
      </rPr>
      <t xml:space="preserve">)</t>
    </r>
  </si>
  <si>
    <r>
      <rPr>
        <sz val="10"/>
        <color rgb="FF000000"/>
        <rFont val="Yu Gothic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仕掛かり</t>
    </r>
    <r>
      <rPr>
        <sz val="10"/>
        <color rgb="FF000000"/>
        <rFont val="Yu Gothic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未着手</t>
    </r>
    <r>
      <rPr>
        <sz val="10"/>
        <color rgb="FF000000"/>
        <rFont val="Yu Gothic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進行中</t>
    </r>
    <r>
      <rPr>
        <sz val="10"/>
        <color rgb="FF000000"/>
        <rFont val="Yu Gothic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レビュー待ち</t>
    </r>
    <r>
      <rPr>
        <sz val="10"/>
        <color rgb="FF000000"/>
        <rFont val="Yu Gothic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は</t>
    </r>
    <r>
      <rPr>
        <sz val="10"/>
        <color rgb="FF000000"/>
        <rFont val="Yu Gothic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人</t>
    </r>
    <r>
      <rPr>
        <sz val="10"/>
        <color rgb="FF000000"/>
        <rFont val="Yu Gothic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件まで。超えたら相談</t>
    </r>
  </si>
  <si>
    <r>
      <rPr>
        <sz val="10"/>
        <color rgb="FF000000"/>
        <rFont val="Yu Gothic"/>
        <family val="0"/>
        <charset val="1"/>
      </rPr>
      <t xml:space="preserve">6. </t>
    </r>
    <r>
      <rPr>
        <sz val="10"/>
        <color rgb="FF000000"/>
        <rFont val="WenQuanYi Zen Hei"/>
        <family val="2"/>
      </rPr>
      <t xml:space="preserve">ダイジェストメール</t>
    </r>
    <r>
      <rPr>
        <sz val="10"/>
        <color rgb="FF000000"/>
        <rFont val="Yu Gothic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設定シートで</t>
    </r>
    <r>
      <rPr>
        <sz val="10"/>
        <color rgb="FF000000"/>
        <rFont val="Yu Gothic"/>
        <family val="0"/>
        <charset val="1"/>
      </rPr>
      <t xml:space="preserve">ON/OFF</t>
    </r>
    <r>
      <rPr>
        <sz val="10"/>
        <color rgb="FF000000"/>
        <rFont val="WenQuanYi Zen Hei"/>
        <family val="2"/>
      </rPr>
      <t xml:space="preserve">と送信モードを切替。手動送信は</t>
    </r>
    <r>
      <rPr>
        <sz val="10"/>
        <color rgb="FF000000"/>
        <rFont val="Yu Gothic"/>
        <family val="0"/>
        <charset val="1"/>
      </rPr>
      <t xml:space="preserve">Alt+F8→SendDigest(</t>
    </r>
    <r>
      <rPr>
        <sz val="10"/>
        <color rgb="FF000000"/>
        <rFont val="WenQuanYi Zen Hei"/>
        <family val="2"/>
      </rPr>
      <t xml:space="preserve">またはボタン</t>
    </r>
    <r>
      <rPr>
        <sz val="10"/>
        <color rgb="FF000000"/>
        <rFont val="Yu Gothic"/>
        <family val="0"/>
        <charset val="1"/>
      </rPr>
      <t xml:space="preserve">)</t>
    </r>
  </si>
  <si>
    <t xml:space="preserve">設定</t>
  </si>
  <si>
    <r>
      <rPr>
        <sz val="9"/>
        <color rgb="FF808080"/>
        <rFont val="WenQuanYi Zen Hei"/>
        <family val="2"/>
      </rPr>
      <t xml:space="preserve">薄黄色のセルに入力してください。メンバーは上から詰めて記入</t>
    </r>
    <r>
      <rPr>
        <sz val="9"/>
        <color rgb="FF808080"/>
        <rFont val="Yu Gothic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空行は無視されます</t>
    </r>
    <r>
      <rPr>
        <sz val="9"/>
        <color rgb="FF808080"/>
        <rFont val="Yu Gothic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。</t>
    </r>
  </si>
  <si>
    <t xml:space="preserve">名前</t>
  </si>
  <si>
    <t xml:space="preserve">メールアドレス</t>
  </si>
  <si>
    <t xml:space="preserve">役割</t>
  </si>
  <si>
    <t xml:space="preserve">配信設定</t>
  </si>
  <si>
    <t xml:space="preserve">shinjin-a@example.co.jp</t>
  </si>
  <si>
    <t xml:space="preserve">新人</t>
  </si>
  <si>
    <r>
      <rPr>
        <b val="true"/>
        <sz val="10"/>
        <color rgb="FF000000"/>
        <rFont val="WenQuanYi Zen Hei"/>
        <family val="2"/>
      </rPr>
      <t xml:space="preserve">自動配信</t>
    </r>
    <r>
      <rPr>
        <b val="true"/>
        <sz val="10"/>
        <color rgb="FF000000"/>
        <rFont val="Yu Gothic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ブックを開いた時</t>
    </r>
    <r>
      <rPr>
        <b val="true"/>
        <sz val="10"/>
        <color rgb="FF000000"/>
        <rFont val="Yu Gothic"/>
        <family val="0"/>
        <charset val="1"/>
      </rPr>
      <t xml:space="preserve">)</t>
    </r>
  </si>
  <si>
    <t xml:space="preserve">OFF</t>
  </si>
  <si>
    <r>
      <rPr>
        <sz val="9"/>
        <color rgb="FF808080"/>
        <rFont val="Yu Gothic"/>
        <family val="0"/>
        <charset val="1"/>
      </rPr>
      <t xml:space="preserve">ON</t>
    </r>
    <r>
      <rPr>
        <sz val="9"/>
        <color rgb="FF808080"/>
        <rFont val="WenQuanYi Zen Hei"/>
        <family val="2"/>
      </rPr>
      <t xml:space="preserve">にすると、その日最初にブックを開いた人の</t>
    </r>
    <r>
      <rPr>
        <sz val="9"/>
        <color rgb="FF808080"/>
        <rFont val="Yu Gothic"/>
        <family val="0"/>
        <charset val="1"/>
      </rPr>
      <t xml:space="preserve">Outlook</t>
    </r>
    <r>
      <rPr>
        <sz val="9"/>
        <color rgb="FF808080"/>
        <rFont val="WenQuanYi Zen Hei"/>
        <family val="2"/>
      </rPr>
      <t xml:space="preserve">からダイジェストが送られます</t>
    </r>
  </si>
  <si>
    <t xml:space="preserve">shinjin-b@example.co.jp</t>
  </si>
  <si>
    <t xml:space="preserve">送信モード</t>
  </si>
  <si>
    <t xml:space="preserve">下書き表示</t>
  </si>
  <si>
    <t xml:space="preserve">「下書き表示」は送信前にメールが画面に出るので内容を確認してから送れます</t>
  </si>
  <si>
    <t xml:space="preserve">mentor-x@example.co.jp</t>
  </si>
  <si>
    <t xml:space="preserve">メンター</t>
  </si>
  <si>
    <r>
      <rPr>
        <b val="true"/>
        <sz val="10"/>
        <color rgb="FF000000"/>
        <rFont val="WenQuanYi Zen Hei"/>
        <family val="2"/>
      </rPr>
      <t xml:space="preserve">追加宛先</t>
    </r>
    <r>
      <rPr>
        <b val="true"/>
        <sz val="10"/>
        <color rgb="FF000000"/>
        <rFont val="Yu Gothic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任意</t>
    </r>
    <r>
      <rPr>
        <b val="true"/>
        <sz val="10"/>
        <color rgb="FF000000"/>
        <rFont val="Yu Gothic"/>
        <family val="0"/>
        <charset val="1"/>
      </rPr>
      <t xml:space="preserve">)</t>
    </r>
  </si>
  <si>
    <t xml:space="preserve">チームメーリングリスト等。空欄なら設定シートの全メンバー宛</t>
  </si>
  <si>
    <t xml:space="preserve">leader-y@example.co.jp</t>
  </si>
  <si>
    <r>
      <rPr>
        <b val="true"/>
        <sz val="10"/>
        <color rgb="FF000000"/>
        <rFont val="WenQuanYi Zen Hei"/>
        <family val="2"/>
      </rPr>
      <t xml:space="preserve">最終送信日</t>
    </r>
    <r>
      <rPr>
        <b val="true"/>
        <sz val="10"/>
        <color rgb="FF000000"/>
        <rFont val="Yu Gothic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自動記入</t>
    </r>
    <r>
      <rPr>
        <b val="true"/>
        <sz val="10"/>
        <color rgb="FF000000"/>
        <rFont val="Yu Gothic"/>
        <family val="0"/>
        <charset val="1"/>
      </rPr>
      <t xml:space="preserve">)</t>
    </r>
  </si>
  <si>
    <t xml:space="preserve">マクロが記入します。手で消せばその日もう一度自動配信されます</t>
  </si>
  <si>
    <r>
      <rPr>
        <sz val="9"/>
        <color rgb="FF808080"/>
        <rFont val="WenQuanYi Zen Hei"/>
        <family val="2"/>
      </rPr>
      <t xml:space="preserve">状態リスト</t>
    </r>
    <r>
      <rPr>
        <sz val="9"/>
        <color rgb="FF808080"/>
        <rFont val="Yu Gothic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タスクシートのプルダウン元。変更非推奨</t>
    </r>
    <r>
      <rPr>
        <sz val="9"/>
        <color rgb="FF808080"/>
        <rFont val="Yu Gothic"/>
        <family val="0"/>
        <charset val="1"/>
      </rPr>
      <t xml:space="preserve">)</t>
    </r>
  </si>
  <si>
    <r>
      <rPr>
        <sz val="9"/>
        <color rgb="FF808080"/>
        <rFont val="WenQuanYi Zen Hei"/>
        <family val="2"/>
      </rPr>
      <t xml:space="preserve">※上の</t>
    </r>
    <r>
      <rPr>
        <sz val="9"/>
        <color rgb="FF808080"/>
        <rFont val="Yu Gothic"/>
        <family val="0"/>
        <charset val="1"/>
      </rPr>
      <t xml:space="preserve">4</t>
    </r>
    <r>
      <rPr>
        <sz val="9"/>
        <color rgb="FF808080"/>
        <rFont val="WenQuanYi Zen Hei"/>
        <family val="2"/>
      </rPr>
      <t xml:space="preserve">行は記入例です。実際のメンバーに書き換えてください。</t>
    </r>
  </si>
  <si>
    <t xml:space="preserve">完了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</si>
</sst>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yyyy/mm/dd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sz val="9"/>
      <color rgb="FF808080"/>
      <name val="WenQuanYi Zen Hei"/>
      <family val="2"/>
    </font>
    <font>
      <sz val="9"/>
      <color rgb="FF808080"/>
      <name val="Yu Gothic"/>
      <family val="0"/>
      <charset val="1"/>
    </font>
    <font>
      <b val="true"/>
      <sz val="10"/>
      <color rgb="FFFFFFFF"/>
      <name val="Yu Gothic"/>
      <family val="0"/>
      <charset val="1"/>
    </font>
    <font>
      <b val="true"/>
      <sz val="10"/>
      <color rgb="FFFFFFFF"/>
      <name val="WenQuanYi Zen Hei"/>
      <family val="2"/>
    </font>
    <font>
      <sz val="10"/>
      <color rgb="FF000000"/>
      <name val="Yu Gothic"/>
      <family val="0"/>
      <charset val="1"/>
    </font>
    <font>
      <sz val="10"/>
      <color rgb="FF000000"/>
      <name val="WenQuanYi Zen Hei"/>
      <family val="2"/>
    </font>
    <font>
      <b val="true"/>
      <sz val="14"/>
      <color rgb="FF1F3864"/>
      <name val="Yu Gothic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Yu Gothic"/>
      <family val="0"/>
      <charset val="1"/>
    </font>
    <font>
      <b val="true"/>
      <sz val="18"/>
      <color rgb="FF000000"/>
      <name val="Yu Gothic"/>
      <family val="0"/>
      <charset val="1"/>
    </font>
    <font>
      <b val="true"/>
      <sz val="12"/>
      <color rgb="FF1F3864"/>
      <name val="WenQuanYi Zen He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FFC7CE"/>
        <bgColor rgb="FFFCE4D6"/>
      </patternFill>
    </fill>
    <fill>
      <patternFill patternType="solid">
        <fgColor rgb="FFFFEB9C"/>
        <bgColor rgb="FFFFF2C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Yu Gothic"/>
        <charset val="1"/>
        <family val="0"/>
        <color rgb="FFA6A6A6"/>
        <sz val="10"/>
      </font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ont>
        <name val="Yu Gothic"/>
        <charset val="1"/>
        <family val="0"/>
        <b val="1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6" min="3" style="0" width="12"/>
    <col collapsed="false" customWidth="true" hidden="false" outlineLevel="0" max="7" min="7" style="0" width="11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1" min="10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7.75" hidden="false" customHeight="true" outlineLevel="0" collapsed="false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</row>
    <row r="4" customFormat="false" ht="26.85" hidden="false" customHeight="false" outlineLevel="0" collapsed="false">
      <c r="A4" s="5" t="n">
        <f aca="false">IF(B4="","",ROW()-3)</f>
        <v>1</v>
      </c>
      <c r="B4" s="6" t="s">
        <v>13</v>
      </c>
      <c r="C4" s="7" t="s">
        <v>14</v>
      </c>
      <c r="D4" s="7" t="s">
        <v>15</v>
      </c>
      <c r="E4" s="8" t="n">
        <v>46271</v>
      </c>
      <c r="F4" s="7" t="s">
        <v>16</v>
      </c>
      <c r="G4" s="9" t="str">
        <f aca="true">IF(B4="","",IF(F4="完了","✓ 完了",IF(E4="","⚠ 期限未設定",IF(E4&lt;TODAY(),"🔴 超過",IF(E4=TODAY(),"🟡 今日","")))))</f>
        <v>🔴 超過</v>
      </c>
      <c r="H4" s="6" t="s">
        <v>17</v>
      </c>
      <c r="I4" s="6" t="s">
        <v>18</v>
      </c>
      <c r="J4" s="8" t="n">
        <v>46268</v>
      </c>
      <c r="K4" s="8"/>
    </row>
    <row r="5" customFormat="false" ht="15" hidden="false" customHeight="false" outlineLevel="0" collapsed="false">
      <c r="A5" s="5" t="n">
        <f aca="false">IF(B5="","",ROW()-3)</f>
        <v>2</v>
      </c>
      <c r="B5" s="6" t="s">
        <v>19</v>
      </c>
      <c r="C5" s="7" t="s">
        <v>14</v>
      </c>
      <c r="D5" s="7" t="s">
        <v>15</v>
      </c>
      <c r="E5" s="8" t="n">
        <v>46273</v>
      </c>
      <c r="F5" s="7" t="s">
        <v>20</v>
      </c>
      <c r="G5" s="9" t="str">
        <f aca="true">IF(B5="","",IF(F5="完了","✓ 完了",IF(E5="","⚠ 期限未設定",IF(E5&lt;TODAY(),"🔴 超過",IF(E5=TODAY(),"🟡 今日","")))))</f>
        <v>🟡 今日</v>
      </c>
      <c r="H5" s="6" t="s">
        <v>21</v>
      </c>
      <c r="I5" s="6"/>
      <c r="J5" s="8" t="n">
        <v>46270</v>
      </c>
      <c r="K5" s="8"/>
    </row>
    <row r="6" customFormat="false" ht="15" hidden="false" customHeight="false" outlineLevel="0" collapsed="false">
      <c r="A6" s="5" t="n">
        <f aca="false">IF(B6="","",ROW()-3)</f>
        <v>3</v>
      </c>
      <c r="B6" s="6" t="s">
        <v>22</v>
      </c>
      <c r="C6" s="7" t="s">
        <v>23</v>
      </c>
      <c r="D6" s="7" t="s">
        <v>24</v>
      </c>
      <c r="E6" s="8" t="n">
        <v>46276</v>
      </c>
      <c r="F6" s="7" t="s">
        <v>25</v>
      </c>
      <c r="G6" s="9" t="str">
        <f aca="true">IF(B6="","",IF(F6="完了","✓ 完了",IF(E6="","⚠ 期限未設定",IF(E6&lt;TODAY(),"🔴 超過",IF(E6=TODAY(),"🟡 今日","")))))</f>
        <v/>
      </c>
      <c r="H6" s="6" t="s">
        <v>26</v>
      </c>
      <c r="I6" s="6" t="s">
        <v>27</v>
      </c>
      <c r="J6" s="8" t="n">
        <v>46272</v>
      </c>
      <c r="K6" s="8"/>
    </row>
    <row r="7" customFormat="false" ht="15" hidden="false" customHeight="false" outlineLevel="0" collapsed="false">
      <c r="A7" s="5" t="str">
        <f aca="false">IF(B7="","",ROW()-3)</f>
        <v/>
      </c>
      <c r="B7" s="6"/>
      <c r="C7" s="7"/>
      <c r="D7" s="7"/>
      <c r="E7" s="8"/>
      <c r="F7" s="7"/>
      <c r="G7" s="9" t="str">
        <f aca="true">IF(B7="","",IF(F7="完了","✓ 完了",IF(E7="","⚠ 期限未設定",IF(E7&lt;TODAY(),"🔴 超過",IF(E7=TODAY(),"🟡 今日","")))))</f>
        <v/>
      </c>
      <c r="H7" s="6"/>
      <c r="I7" s="6"/>
      <c r="J7" s="8"/>
      <c r="K7" s="8"/>
    </row>
    <row r="8" customFormat="false" ht="15" hidden="false" customHeight="false" outlineLevel="0" collapsed="false">
      <c r="A8" s="5" t="str">
        <f aca="false">IF(B8="","",ROW()-3)</f>
        <v/>
      </c>
      <c r="B8" s="6"/>
      <c r="C8" s="7"/>
      <c r="D8" s="7"/>
      <c r="E8" s="8"/>
      <c r="F8" s="7"/>
      <c r="G8" s="9" t="str">
        <f aca="true">IF(B8="","",IF(F8="完了","✓ 完了",IF(E8="","⚠ 期限未設定",IF(E8&lt;TODAY(),"🔴 超過",IF(E8=TODAY(),"🟡 今日","")))))</f>
        <v/>
      </c>
      <c r="H8" s="6"/>
      <c r="I8" s="6"/>
      <c r="J8" s="8"/>
      <c r="K8" s="8"/>
    </row>
    <row r="9" customFormat="false" ht="15" hidden="false" customHeight="false" outlineLevel="0" collapsed="false">
      <c r="A9" s="5" t="str">
        <f aca="false">IF(B9="","",ROW()-3)</f>
        <v/>
      </c>
      <c r="B9" s="6"/>
      <c r="C9" s="7"/>
      <c r="D9" s="7"/>
      <c r="E9" s="8"/>
      <c r="F9" s="7"/>
      <c r="G9" s="9" t="str">
        <f aca="true">IF(B9="","",IF(F9="完了","✓ 完了",IF(E9="","⚠ 期限未設定",IF(E9&lt;TODAY(),"🔴 超過",IF(E9=TODAY(),"🟡 今日","")))))</f>
        <v/>
      </c>
      <c r="H9" s="6"/>
      <c r="I9" s="6"/>
      <c r="J9" s="8"/>
      <c r="K9" s="8"/>
    </row>
    <row r="10" customFormat="false" ht="15" hidden="false" customHeight="false" outlineLevel="0" collapsed="false">
      <c r="A10" s="5" t="str">
        <f aca="false">IF(B10="","",ROW()-3)</f>
        <v/>
      </c>
      <c r="B10" s="6"/>
      <c r="C10" s="7"/>
      <c r="D10" s="7"/>
      <c r="E10" s="8"/>
      <c r="F10" s="7"/>
      <c r="G10" s="9" t="str">
        <f aca="true">IF(B10="","",IF(F10="完了","✓ 完了",IF(E10="","⚠ 期限未設定",IF(E10&lt;TODAY(),"🔴 超過",IF(E10=TODAY(),"🟡 今日","")))))</f>
        <v/>
      </c>
      <c r="H10" s="6"/>
      <c r="I10" s="6"/>
      <c r="J10" s="8"/>
      <c r="K10" s="8"/>
    </row>
    <row r="11" customFormat="false" ht="15" hidden="false" customHeight="false" outlineLevel="0" collapsed="false">
      <c r="A11" s="5" t="str">
        <f aca="false">IF(B11="","",ROW()-3)</f>
        <v/>
      </c>
      <c r="B11" s="6"/>
      <c r="C11" s="7"/>
      <c r="D11" s="7"/>
      <c r="E11" s="8"/>
      <c r="F11" s="7"/>
      <c r="G11" s="9" t="str">
        <f aca="true">IF(B11="","",IF(F11="完了","✓ 完了",IF(E11="","⚠ 期限未設定",IF(E11&lt;TODAY(),"🔴 超過",IF(E11=TODAY(),"🟡 今日","")))))</f>
        <v/>
      </c>
      <c r="H11" s="6"/>
      <c r="I11" s="6"/>
      <c r="J11" s="8"/>
      <c r="K11" s="8"/>
    </row>
    <row r="12" customFormat="false" ht="15" hidden="false" customHeight="false" outlineLevel="0" collapsed="false">
      <c r="A12" s="5" t="str">
        <f aca="false">IF(B12="","",ROW()-3)</f>
        <v/>
      </c>
      <c r="B12" s="6"/>
      <c r="C12" s="7"/>
      <c r="D12" s="7"/>
      <c r="E12" s="8"/>
      <c r="F12" s="7"/>
      <c r="G12" s="9" t="str">
        <f aca="true">IF(B12="","",IF(F12="完了","✓ 完了",IF(E12="","⚠ 期限未設定",IF(E12&lt;TODAY(),"🔴 超過",IF(E12=TODAY(),"🟡 今日","")))))</f>
        <v/>
      </c>
      <c r="H12" s="6"/>
      <c r="I12" s="6"/>
      <c r="J12" s="8"/>
      <c r="K12" s="8"/>
    </row>
    <row r="13" customFormat="false" ht="15" hidden="false" customHeight="false" outlineLevel="0" collapsed="false">
      <c r="A13" s="5" t="str">
        <f aca="false">IF(B13="","",ROW()-3)</f>
        <v/>
      </c>
      <c r="B13" s="6"/>
      <c r="C13" s="7"/>
      <c r="D13" s="7"/>
      <c r="E13" s="8"/>
      <c r="F13" s="7"/>
      <c r="G13" s="9" t="str">
        <f aca="true">IF(B13="","",IF(F13="完了","✓ 完了",IF(E13="","⚠ 期限未設定",IF(E13&lt;TODAY(),"🔴 超過",IF(E13=TODAY(),"🟡 今日","")))))</f>
        <v/>
      </c>
      <c r="H13" s="6"/>
      <c r="I13" s="6"/>
      <c r="J13" s="8"/>
      <c r="K13" s="8"/>
    </row>
    <row r="14" customFormat="false" ht="15" hidden="false" customHeight="false" outlineLevel="0" collapsed="false">
      <c r="A14" s="5" t="str">
        <f aca="false">IF(B14="","",ROW()-3)</f>
        <v/>
      </c>
      <c r="B14" s="6"/>
      <c r="C14" s="7"/>
      <c r="D14" s="7"/>
      <c r="E14" s="8"/>
      <c r="F14" s="7"/>
      <c r="G14" s="9" t="str">
        <f aca="true">IF(B14="","",IF(F14="完了","✓ 完了",IF(E14="","⚠ 期限未設定",IF(E14&lt;TODAY(),"🔴 超過",IF(E14=TODAY(),"🟡 今日","")))))</f>
        <v/>
      </c>
      <c r="H14" s="6"/>
      <c r="I14" s="6"/>
      <c r="J14" s="8"/>
      <c r="K14" s="8"/>
    </row>
    <row r="15" customFormat="false" ht="15" hidden="false" customHeight="false" outlineLevel="0" collapsed="false">
      <c r="A15" s="5" t="str">
        <f aca="false">IF(B15="","",ROW()-3)</f>
        <v/>
      </c>
      <c r="B15" s="6"/>
      <c r="C15" s="7"/>
      <c r="D15" s="7"/>
      <c r="E15" s="8"/>
      <c r="F15" s="7"/>
      <c r="G15" s="9" t="str">
        <f aca="true">IF(B15="","",IF(F15="完了","✓ 完了",IF(E15="","⚠ 期限未設定",IF(E15&lt;TODAY(),"🔴 超過",IF(E15=TODAY(),"🟡 今日","")))))</f>
        <v/>
      </c>
      <c r="H15" s="6"/>
      <c r="I15" s="6"/>
      <c r="J15" s="8"/>
      <c r="K15" s="8"/>
    </row>
    <row r="16" customFormat="false" ht="15" hidden="false" customHeight="false" outlineLevel="0" collapsed="false">
      <c r="A16" s="5" t="str">
        <f aca="false">IF(B16="","",ROW()-3)</f>
        <v/>
      </c>
      <c r="B16" s="6"/>
      <c r="C16" s="7"/>
      <c r="D16" s="7"/>
      <c r="E16" s="8"/>
      <c r="F16" s="7"/>
      <c r="G16" s="9" t="str">
        <f aca="true">IF(B16="","",IF(F16="完了","✓ 完了",IF(E16="","⚠ 期限未設定",IF(E16&lt;TODAY(),"🔴 超過",IF(E16=TODAY(),"🟡 今日","")))))</f>
        <v/>
      </c>
      <c r="H16" s="6"/>
      <c r="I16" s="6"/>
      <c r="J16" s="8"/>
      <c r="K16" s="8"/>
    </row>
    <row r="17" customFormat="false" ht="15" hidden="false" customHeight="false" outlineLevel="0" collapsed="false">
      <c r="A17" s="5" t="str">
        <f aca="false">IF(B17="","",ROW()-3)</f>
        <v/>
      </c>
      <c r="B17" s="6"/>
      <c r="C17" s="7"/>
      <c r="D17" s="7"/>
      <c r="E17" s="8"/>
      <c r="F17" s="7"/>
      <c r="G17" s="9" t="str">
        <f aca="true">IF(B17="","",IF(F17="完了","✓ 完了",IF(E17="","⚠ 期限未設定",IF(E17&lt;TODAY(),"🔴 超過",IF(E17=TODAY(),"🟡 今日","")))))</f>
        <v/>
      </c>
      <c r="H17" s="6"/>
      <c r="I17" s="6"/>
      <c r="J17" s="8"/>
      <c r="K17" s="8"/>
    </row>
    <row r="18" customFormat="false" ht="15" hidden="false" customHeight="false" outlineLevel="0" collapsed="false">
      <c r="A18" s="5" t="str">
        <f aca="false">IF(B18="","",ROW()-3)</f>
        <v/>
      </c>
      <c r="B18" s="6"/>
      <c r="C18" s="7"/>
      <c r="D18" s="7"/>
      <c r="E18" s="8"/>
      <c r="F18" s="7"/>
      <c r="G18" s="9" t="str">
        <f aca="true">IF(B18="","",IF(F18="完了","✓ 完了",IF(E18="","⚠ 期限未設定",IF(E18&lt;TODAY(),"🔴 超過",IF(E18=TODAY(),"🟡 今日","")))))</f>
        <v/>
      </c>
      <c r="H18" s="6"/>
      <c r="I18" s="6"/>
      <c r="J18" s="8"/>
      <c r="K18" s="8"/>
    </row>
    <row r="19" customFormat="false" ht="15" hidden="false" customHeight="false" outlineLevel="0" collapsed="false">
      <c r="A19" s="5" t="str">
        <f aca="false">IF(B19="","",ROW()-3)</f>
        <v/>
      </c>
      <c r="B19" s="6"/>
      <c r="C19" s="7"/>
      <c r="D19" s="7"/>
      <c r="E19" s="8"/>
      <c r="F19" s="7"/>
      <c r="G19" s="9" t="str">
        <f aca="true">IF(B19="","",IF(F19="完了","✓ 完了",IF(E19="","⚠ 期限未設定",IF(E19&lt;TODAY(),"🔴 超過",IF(E19=TODAY(),"🟡 今日","")))))</f>
        <v/>
      </c>
      <c r="H19" s="6"/>
      <c r="I19" s="6"/>
      <c r="J19" s="8"/>
      <c r="K19" s="8"/>
    </row>
    <row r="20" customFormat="false" ht="15" hidden="false" customHeight="false" outlineLevel="0" collapsed="false">
      <c r="A20" s="5" t="str">
        <f aca="false">IF(B20="","",ROW()-3)</f>
        <v/>
      </c>
      <c r="B20" s="6"/>
      <c r="C20" s="7"/>
      <c r="D20" s="7"/>
      <c r="E20" s="8"/>
      <c r="F20" s="7"/>
      <c r="G20" s="9" t="str">
        <f aca="true">IF(B20="","",IF(F20="完了","✓ 完了",IF(E20="","⚠ 期限未設定",IF(E20&lt;TODAY(),"🔴 超過",IF(E20=TODAY(),"🟡 今日","")))))</f>
        <v/>
      </c>
      <c r="H20" s="6"/>
      <c r="I20" s="6"/>
      <c r="J20" s="8"/>
      <c r="K20" s="8"/>
    </row>
    <row r="21" customFormat="false" ht="15" hidden="false" customHeight="false" outlineLevel="0" collapsed="false">
      <c r="A21" s="5" t="str">
        <f aca="false">IF(B21="","",ROW()-3)</f>
        <v/>
      </c>
      <c r="B21" s="6"/>
      <c r="C21" s="7"/>
      <c r="D21" s="7"/>
      <c r="E21" s="8"/>
      <c r="F21" s="7"/>
      <c r="G21" s="9" t="str">
        <f aca="true">IF(B21="","",IF(F21="完了","✓ 完了",IF(E21="","⚠ 期限未設定",IF(E21&lt;TODAY(),"🔴 超過",IF(E21=TODAY(),"🟡 今日","")))))</f>
        <v/>
      </c>
      <c r="H21" s="6"/>
      <c r="I21" s="6"/>
      <c r="J21" s="8"/>
      <c r="K21" s="8"/>
    </row>
    <row r="22" customFormat="false" ht="15" hidden="false" customHeight="false" outlineLevel="0" collapsed="false">
      <c r="A22" s="5" t="str">
        <f aca="false">IF(B22="","",ROW()-3)</f>
        <v/>
      </c>
      <c r="B22" s="6"/>
      <c r="C22" s="7"/>
      <c r="D22" s="7"/>
      <c r="E22" s="8"/>
      <c r="F22" s="7"/>
      <c r="G22" s="9" t="str">
        <f aca="true">IF(B22="","",IF(F22="完了","✓ 完了",IF(E22="","⚠ 期限未設定",IF(E22&lt;TODAY(),"🔴 超過",IF(E22=TODAY(),"🟡 今日","")))))</f>
        <v/>
      </c>
      <c r="H22" s="6"/>
      <c r="I22" s="6"/>
      <c r="J22" s="8"/>
      <c r="K22" s="8"/>
    </row>
    <row r="23" customFormat="false" ht="15" hidden="false" customHeight="false" outlineLevel="0" collapsed="false">
      <c r="A23" s="5" t="str">
        <f aca="false">IF(B23="","",ROW()-3)</f>
        <v/>
      </c>
      <c r="B23" s="6"/>
      <c r="C23" s="7"/>
      <c r="D23" s="7"/>
      <c r="E23" s="8"/>
      <c r="F23" s="7"/>
      <c r="G23" s="9" t="str">
        <f aca="true">IF(B23="","",IF(F23="完了","✓ 完了",IF(E23="","⚠ 期限未設定",IF(E23&lt;TODAY(),"🔴 超過",IF(E23=TODAY(),"🟡 今日","")))))</f>
        <v/>
      </c>
      <c r="H23" s="6"/>
      <c r="I23" s="6"/>
      <c r="J23" s="8"/>
      <c r="K23" s="8"/>
    </row>
    <row r="24" customFormat="false" ht="15" hidden="false" customHeight="false" outlineLevel="0" collapsed="false">
      <c r="A24" s="5" t="str">
        <f aca="false">IF(B24="","",ROW()-3)</f>
        <v/>
      </c>
      <c r="B24" s="6"/>
      <c r="C24" s="7"/>
      <c r="D24" s="7"/>
      <c r="E24" s="8"/>
      <c r="F24" s="7"/>
      <c r="G24" s="9" t="str">
        <f aca="true">IF(B24="","",IF(F24="完了","✓ 完了",IF(E24="","⚠ 期限未設定",IF(E24&lt;TODAY(),"🔴 超過",IF(E24=TODAY(),"🟡 今日","")))))</f>
        <v/>
      </c>
      <c r="H24" s="6"/>
      <c r="I24" s="6"/>
      <c r="J24" s="8"/>
      <c r="K24" s="8"/>
    </row>
    <row r="25" customFormat="false" ht="15" hidden="false" customHeight="false" outlineLevel="0" collapsed="false">
      <c r="A25" s="5" t="str">
        <f aca="false">IF(B25="","",ROW()-3)</f>
        <v/>
      </c>
      <c r="B25" s="6"/>
      <c r="C25" s="7"/>
      <c r="D25" s="7"/>
      <c r="E25" s="8"/>
      <c r="F25" s="7"/>
      <c r="G25" s="9" t="str">
        <f aca="true">IF(B25="","",IF(F25="完了","✓ 完了",IF(E25="","⚠ 期限未設定",IF(E25&lt;TODAY(),"🔴 超過",IF(E25=TODAY(),"🟡 今日","")))))</f>
        <v/>
      </c>
      <c r="H25" s="6"/>
      <c r="I25" s="6"/>
      <c r="J25" s="8"/>
      <c r="K25" s="8"/>
    </row>
    <row r="26" customFormat="false" ht="15" hidden="false" customHeight="false" outlineLevel="0" collapsed="false">
      <c r="A26" s="5" t="str">
        <f aca="false">IF(B26="","",ROW()-3)</f>
        <v/>
      </c>
      <c r="B26" s="6"/>
      <c r="C26" s="7"/>
      <c r="D26" s="7"/>
      <c r="E26" s="8"/>
      <c r="F26" s="7"/>
      <c r="G26" s="9" t="str">
        <f aca="true">IF(B26="","",IF(F26="完了","✓ 完了",IF(E26="","⚠ 期限未設定",IF(E26&lt;TODAY(),"🔴 超過",IF(E26=TODAY(),"🟡 今日","")))))</f>
        <v/>
      </c>
      <c r="H26" s="6"/>
      <c r="I26" s="6"/>
      <c r="J26" s="8"/>
      <c r="K26" s="8"/>
    </row>
    <row r="27" customFormat="false" ht="15" hidden="false" customHeight="false" outlineLevel="0" collapsed="false">
      <c r="A27" s="5" t="str">
        <f aca="false">IF(B27="","",ROW()-3)</f>
        <v/>
      </c>
      <c r="B27" s="6"/>
      <c r="C27" s="7"/>
      <c r="D27" s="7"/>
      <c r="E27" s="8"/>
      <c r="F27" s="7"/>
      <c r="G27" s="9" t="str">
        <f aca="true">IF(B27="","",IF(F27="完了","✓ 完了",IF(E27="","⚠ 期限未設定",IF(E27&lt;TODAY(),"🔴 超過",IF(E27=TODAY(),"🟡 今日","")))))</f>
        <v/>
      </c>
      <c r="H27" s="6"/>
      <c r="I27" s="6"/>
      <c r="J27" s="8"/>
      <c r="K27" s="8"/>
    </row>
    <row r="28" customFormat="false" ht="15" hidden="false" customHeight="false" outlineLevel="0" collapsed="false">
      <c r="A28" s="5" t="str">
        <f aca="false">IF(B28="","",ROW()-3)</f>
        <v/>
      </c>
      <c r="B28" s="6"/>
      <c r="C28" s="7"/>
      <c r="D28" s="7"/>
      <c r="E28" s="8"/>
      <c r="F28" s="7"/>
      <c r="G28" s="9" t="str">
        <f aca="true">IF(B28="","",IF(F28="完了","✓ 完了",IF(E28="","⚠ 期限未設定",IF(E28&lt;TODAY(),"🔴 超過",IF(E28=TODAY(),"🟡 今日","")))))</f>
        <v/>
      </c>
      <c r="H28" s="6"/>
      <c r="I28" s="6"/>
      <c r="J28" s="8"/>
      <c r="K28" s="8"/>
    </row>
    <row r="29" customFormat="false" ht="15" hidden="false" customHeight="false" outlineLevel="0" collapsed="false">
      <c r="A29" s="5" t="str">
        <f aca="false">IF(B29="","",ROW()-3)</f>
        <v/>
      </c>
      <c r="B29" s="6"/>
      <c r="C29" s="7"/>
      <c r="D29" s="7"/>
      <c r="E29" s="8"/>
      <c r="F29" s="7"/>
      <c r="G29" s="9" t="str">
        <f aca="true">IF(B29="","",IF(F29="完了","✓ 完了",IF(E29="","⚠ 期限未設定",IF(E29&lt;TODAY(),"🔴 超過",IF(E29=TODAY(),"🟡 今日","")))))</f>
        <v/>
      </c>
      <c r="H29" s="6"/>
      <c r="I29" s="6"/>
      <c r="J29" s="8"/>
      <c r="K29" s="8"/>
    </row>
    <row r="30" customFormat="false" ht="15" hidden="false" customHeight="false" outlineLevel="0" collapsed="false">
      <c r="A30" s="5" t="str">
        <f aca="false">IF(B30="","",ROW()-3)</f>
        <v/>
      </c>
      <c r="B30" s="6"/>
      <c r="C30" s="7"/>
      <c r="D30" s="7"/>
      <c r="E30" s="8"/>
      <c r="F30" s="7"/>
      <c r="G30" s="9" t="str">
        <f aca="true">IF(B30="","",IF(F30="完了","✓ 完了",IF(E30="","⚠ 期限未設定",IF(E30&lt;TODAY(),"🔴 超過",IF(E30=TODAY(),"🟡 今日","")))))</f>
        <v/>
      </c>
      <c r="H30" s="6"/>
      <c r="I30" s="6"/>
      <c r="J30" s="8"/>
      <c r="K30" s="8"/>
    </row>
    <row r="31" customFormat="false" ht="15" hidden="false" customHeight="false" outlineLevel="0" collapsed="false">
      <c r="A31" s="5" t="str">
        <f aca="false">IF(B31="","",ROW()-3)</f>
        <v/>
      </c>
      <c r="B31" s="6"/>
      <c r="C31" s="7"/>
      <c r="D31" s="7"/>
      <c r="E31" s="8"/>
      <c r="F31" s="7"/>
      <c r="G31" s="9" t="str">
        <f aca="true">IF(B31="","",IF(F31="完了","✓ 完了",IF(E31="","⚠ 期限未設定",IF(E31&lt;TODAY(),"🔴 超過",IF(E31=TODAY(),"🟡 今日","")))))</f>
        <v/>
      </c>
      <c r="H31" s="6"/>
      <c r="I31" s="6"/>
      <c r="J31" s="8"/>
      <c r="K31" s="8"/>
    </row>
    <row r="32" customFormat="false" ht="15" hidden="false" customHeight="false" outlineLevel="0" collapsed="false">
      <c r="A32" s="5" t="str">
        <f aca="false">IF(B32="","",ROW()-3)</f>
        <v/>
      </c>
      <c r="B32" s="6"/>
      <c r="C32" s="7"/>
      <c r="D32" s="7"/>
      <c r="E32" s="8"/>
      <c r="F32" s="7"/>
      <c r="G32" s="9" t="str">
        <f aca="true">IF(B32="","",IF(F32="完了","✓ 完了",IF(E32="","⚠ 期限未設定",IF(E32&lt;TODAY(),"🔴 超過",IF(E32=TODAY(),"🟡 今日","")))))</f>
        <v/>
      </c>
      <c r="H32" s="6"/>
      <c r="I32" s="6"/>
      <c r="J32" s="8"/>
      <c r="K32" s="8"/>
    </row>
    <row r="33" customFormat="false" ht="15" hidden="false" customHeight="false" outlineLevel="0" collapsed="false">
      <c r="A33" s="5" t="str">
        <f aca="false">IF(B33="","",ROW()-3)</f>
        <v/>
      </c>
      <c r="B33" s="6"/>
      <c r="C33" s="7"/>
      <c r="D33" s="7"/>
      <c r="E33" s="8"/>
      <c r="F33" s="7"/>
      <c r="G33" s="9" t="str">
        <f aca="true">IF(B33="","",IF(F33="完了","✓ 完了",IF(E33="","⚠ 期限未設定",IF(E33&lt;TODAY(),"🔴 超過",IF(E33=TODAY(),"🟡 今日","")))))</f>
        <v/>
      </c>
      <c r="H33" s="6"/>
      <c r="I33" s="6"/>
      <c r="J33" s="8"/>
      <c r="K33" s="8"/>
    </row>
    <row r="34" customFormat="false" ht="15" hidden="false" customHeight="false" outlineLevel="0" collapsed="false">
      <c r="A34" s="5" t="str">
        <f aca="false">IF(B34="","",ROW()-3)</f>
        <v/>
      </c>
      <c r="B34" s="6"/>
      <c r="C34" s="7"/>
      <c r="D34" s="7"/>
      <c r="E34" s="8"/>
      <c r="F34" s="7"/>
      <c r="G34" s="9" t="str">
        <f aca="true">IF(B34="","",IF(F34="完了","✓ 完了",IF(E34="","⚠ 期限未設定",IF(E34&lt;TODAY(),"🔴 超過",IF(E34=TODAY(),"🟡 今日","")))))</f>
        <v/>
      </c>
      <c r="H34" s="6"/>
      <c r="I34" s="6"/>
      <c r="J34" s="8"/>
      <c r="K34" s="8"/>
    </row>
    <row r="35" customFormat="false" ht="15" hidden="false" customHeight="false" outlineLevel="0" collapsed="false">
      <c r="A35" s="5" t="str">
        <f aca="false">IF(B35="","",ROW()-3)</f>
        <v/>
      </c>
      <c r="B35" s="6"/>
      <c r="C35" s="7"/>
      <c r="D35" s="7"/>
      <c r="E35" s="8"/>
      <c r="F35" s="7"/>
      <c r="G35" s="9" t="str">
        <f aca="true">IF(B35="","",IF(F35="完了","✓ 完了",IF(E35="","⚠ 期限未設定",IF(E35&lt;TODAY(),"🔴 超過",IF(E35=TODAY(),"🟡 今日","")))))</f>
        <v/>
      </c>
      <c r="H35" s="6"/>
      <c r="I35" s="6"/>
      <c r="J35" s="8"/>
      <c r="K35" s="8"/>
    </row>
    <row r="36" customFormat="false" ht="15" hidden="false" customHeight="false" outlineLevel="0" collapsed="false">
      <c r="A36" s="5" t="str">
        <f aca="false">IF(B36="","",ROW()-3)</f>
        <v/>
      </c>
      <c r="B36" s="6"/>
      <c r="C36" s="7"/>
      <c r="D36" s="7"/>
      <c r="E36" s="8"/>
      <c r="F36" s="7"/>
      <c r="G36" s="9" t="str">
        <f aca="true">IF(B36="","",IF(F36="完了","✓ 完了",IF(E36="","⚠ 期限未設定",IF(E36&lt;TODAY(),"🔴 超過",IF(E36=TODAY(),"🟡 今日","")))))</f>
        <v/>
      </c>
      <c r="H36" s="6"/>
      <c r="I36" s="6"/>
      <c r="J36" s="8"/>
      <c r="K36" s="8"/>
    </row>
    <row r="37" customFormat="false" ht="15" hidden="false" customHeight="false" outlineLevel="0" collapsed="false">
      <c r="A37" s="5" t="str">
        <f aca="false">IF(B37="","",ROW()-3)</f>
        <v/>
      </c>
      <c r="B37" s="6"/>
      <c r="C37" s="7"/>
      <c r="D37" s="7"/>
      <c r="E37" s="8"/>
      <c r="F37" s="7"/>
      <c r="G37" s="9" t="str">
        <f aca="true">IF(B37="","",IF(F37="完了","✓ 完了",IF(E37="","⚠ 期限未設定",IF(E37&lt;TODAY(),"🔴 超過",IF(E37=TODAY(),"🟡 今日","")))))</f>
        <v/>
      </c>
      <c r="H37" s="6"/>
      <c r="I37" s="6"/>
      <c r="J37" s="8"/>
      <c r="K37" s="8"/>
    </row>
    <row r="38" customFormat="false" ht="15" hidden="false" customHeight="false" outlineLevel="0" collapsed="false">
      <c r="A38" s="5" t="str">
        <f aca="false">IF(B38="","",ROW()-3)</f>
        <v/>
      </c>
      <c r="B38" s="6"/>
      <c r="C38" s="7"/>
      <c r="D38" s="7"/>
      <c r="E38" s="8"/>
      <c r="F38" s="7"/>
      <c r="G38" s="9" t="str">
        <f aca="true">IF(B38="","",IF(F38="完了","✓ 完了",IF(E38="","⚠ 期限未設定",IF(E38&lt;TODAY(),"🔴 超過",IF(E38=TODAY(),"🟡 今日","")))))</f>
        <v/>
      </c>
      <c r="H38" s="6"/>
      <c r="I38" s="6"/>
      <c r="J38" s="8"/>
      <c r="K38" s="8"/>
    </row>
    <row r="39" customFormat="false" ht="15" hidden="false" customHeight="false" outlineLevel="0" collapsed="false">
      <c r="A39" s="5" t="str">
        <f aca="false">IF(B39="","",ROW()-3)</f>
        <v/>
      </c>
      <c r="B39" s="6"/>
      <c r="C39" s="7"/>
      <c r="D39" s="7"/>
      <c r="E39" s="8"/>
      <c r="F39" s="7"/>
      <c r="G39" s="9" t="str">
        <f aca="true">IF(B39="","",IF(F39="完了","✓ 完了",IF(E39="","⚠ 期限未設定",IF(E39&lt;TODAY(),"🔴 超過",IF(E39=TODAY(),"🟡 今日","")))))</f>
        <v/>
      </c>
      <c r="H39" s="6"/>
      <c r="I39" s="6"/>
      <c r="J39" s="8"/>
      <c r="K39" s="8"/>
    </row>
    <row r="40" customFormat="false" ht="15" hidden="false" customHeight="false" outlineLevel="0" collapsed="false">
      <c r="A40" s="5" t="str">
        <f aca="false">IF(B40="","",ROW()-3)</f>
        <v/>
      </c>
      <c r="B40" s="6"/>
      <c r="C40" s="7"/>
      <c r="D40" s="7"/>
      <c r="E40" s="8"/>
      <c r="F40" s="7"/>
      <c r="G40" s="9" t="str">
        <f aca="true">IF(B40="","",IF(F40="完了","✓ 完了",IF(E40="","⚠ 期限未設定",IF(E40&lt;TODAY(),"🔴 超過",IF(E40=TODAY(),"🟡 今日","")))))</f>
        <v/>
      </c>
      <c r="H40" s="6"/>
      <c r="I40" s="6"/>
      <c r="J40" s="8"/>
      <c r="K40" s="8"/>
    </row>
    <row r="41" customFormat="false" ht="15" hidden="false" customHeight="false" outlineLevel="0" collapsed="false">
      <c r="A41" s="5" t="str">
        <f aca="false">IF(B41="","",ROW()-3)</f>
        <v/>
      </c>
      <c r="B41" s="6"/>
      <c r="C41" s="7"/>
      <c r="D41" s="7"/>
      <c r="E41" s="8"/>
      <c r="F41" s="7"/>
      <c r="G41" s="9" t="str">
        <f aca="true">IF(B41="","",IF(F41="完了","✓ 完了",IF(E41="","⚠ 期限未設定",IF(E41&lt;TODAY(),"🔴 超過",IF(E41=TODAY(),"🟡 今日","")))))</f>
        <v/>
      </c>
      <c r="H41" s="6"/>
      <c r="I41" s="6"/>
      <c r="J41" s="8"/>
      <c r="K41" s="8"/>
    </row>
    <row r="42" customFormat="false" ht="15" hidden="false" customHeight="false" outlineLevel="0" collapsed="false">
      <c r="A42" s="5" t="str">
        <f aca="false">IF(B42="","",ROW()-3)</f>
        <v/>
      </c>
      <c r="B42" s="6"/>
      <c r="C42" s="7"/>
      <c r="D42" s="7"/>
      <c r="E42" s="8"/>
      <c r="F42" s="7"/>
      <c r="G42" s="9" t="str">
        <f aca="true">IF(B42="","",IF(F42="完了","✓ 完了",IF(E42="","⚠ 期限未設定",IF(E42&lt;TODAY(),"🔴 超過",IF(E42=TODAY(),"🟡 今日","")))))</f>
        <v/>
      </c>
      <c r="H42" s="6"/>
      <c r="I42" s="6"/>
      <c r="J42" s="8"/>
      <c r="K42" s="8"/>
    </row>
    <row r="43" customFormat="false" ht="15" hidden="false" customHeight="false" outlineLevel="0" collapsed="false">
      <c r="A43" s="5" t="str">
        <f aca="false">IF(B43="","",ROW()-3)</f>
        <v/>
      </c>
      <c r="B43" s="6"/>
      <c r="C43" s="7"/>
      <c r="D43" s="7"/>
      <c r="E43" s="8"/>
      <c r="F43" s="7"/>
      <c r="G43" s="9" t="str">
        <f aca="true">IF(B43="","",IF(F43="完了","✓ 完了",IF(E43="","⚠ 期限未設定",IF(E43&lt;TODAY(),"🔴 超過",IF(E43=TODAY(),"🟡 今日","")))))</f>
        <v/>
      </c>
      <c r="H43" s="6"/>
      <c r="I43" s="6"/>
      <c r="J43" s="8"/>
      <c r="K43" s="8"/>
    </row>
    <row r="44" customFormat="false" ht="15" hidden="false" customHeight="false" outlineLevel="0" collapsed="false">
      <c r="A44" s="5" t="str">
        <f aca="false">IF(B44="","",ROW()-3)</f>
        <v/>
      </c>
      <c r="B44" s="6"/>
      <c r="C44" s="7"/>
      <c r="D44" s="7"/>
      <c r="E44" s="8"/>
      <c r="F44" s="7"/>
      <c r="G44" s="9" t="str">
        <f aca="true">IF(B44="","",IF(F44="完了","✓ 完了",IF(E44="","⚠ 期限未設定",IF(E44&lt;TODAY(),"🔴 超過",IF(E44=TODAY(),"🟡 今日","")))))</f>
        <v/>
      </c>
      <c r="H44" s="6"/>
      <c r="I44" s="6"/>
      <c r="J44" s="8"/>
      <c r="K44" s="8"/>
    </row>
    <row r="45" customFormat="false" ht="15" hidden="false" customHeight="false" outlineLevel="0" collapsed="false">
      <c r="A45" s="5" t="str">
        <f aca="false">IF(B45="","",ROW()-3)</f>
        <v/>
      </c>
      <c r="B45" s="6"/>
      <c r="C45" s="7"/>
      <c r="D45" s="7"/>
      <c r="E45" s="8"/>
      <c r="F45" s="7"/>
      <c r="G45" s="9" t="str">
        <f aca="true">IF(B45="","",IF(F45="完了","✓ 完了",IF(E45="","⚠ 期限未設定",IF(E45&lt;TODAY(),"🔴 超過",IF(E45=TODAY(),"🟡 今日","")))))</f>
        <v/>
      </c>
      <c r="H45" s="6"/>
      <c r="I45" s="6"/>
      <c r="J45" s="8"/>
      <c r="K45" s="8"/>
    </row>
    <row r="46" customFormat="false" ht="15" hidden="false" customHeight="false" outlineLevel="0" collapsed="false">
      <c r="A46" s="5" t="str">
        <f aca="false">IF(B46="","",ROW()-3)</f>
        <v/>
      </c>
      <c r="B46" s="6"/>
      <c r="C46" s="7"/>
      <c r="D46" s="7"/>
      <c r="E46" s="8"/>
      <c r="F46" s="7"/>
      <c r="G46" s="9" t="str">
        <f aca="true">IF(B46="","",IF(F46="完了","✓ 完了",IF(E46="","⚠ 期限未設定",IF(E46&lt;TODAY(),"🔴 超過",IF(E46=TODAY(),"🟡 今日","")))))</f>
        <v/>
      </c>
      <c r="H46" s="6"/>
      <c r="I46" s="6"/>
      <c r="J46" s="8"/>
      <c r="K46" s="8"/>
    </row>
    <row r="47" customFormat="false" ht="15" hidden="false" customHeight="false" outlineLevel="0" collapsed="false">
      <c r="A47" s="5" t="str">
        <f aca="false">IF(B47="","",ROW()-3)</f>
        <v/>
      </c>
      <c r="B47" s="6"/>
      <c r="C47" s="7"/>
      <c r="D47" s="7"/>
      <c r="E47" s="8"/>
      <c r="F47" s="7"/>
      <c r="G47" s="9" t="str">
        <f aca="true">IF(B47="","",IF(F47="完了","✓ 完了",IF(E47="","⚠ 期限未設定",IF(E47&lt;TODAY(),"🔴 超過",IF(E47=TODAY(),"🟡 今日","")))))</f>
        <v/>
      </c>
      <c r="H47" s="6"/>
      <c r="I47" s="6"/>
      <c r="J47" s="8"/>
      <c r="K47" s="8"/>
    </row>
    <row r="48" customFormat="false" ht="15" hidden="false" customHeight="false" outlineLevel="0" collapsed="false">
      <c r="A48" s="5" t="str">
        <f aca="false">IF(B48="","",ROW()-3)</f>
        <v/>
      </c>
      <c r="B48" s="6"/>
      <c r="C48" s="7"/>
      <c r="D48" s="7"/>
      <c r="E48" s="8"/>
      <c r="F48" s="7"/>
      <c r="G48" s="9" t="str">
        <f aca="true">IF(B48="","",IF(F48="完了","✓ 完了",IF(E48="","⚠ 期限未設定",IF(E48&lt;TODAY(),"🔴 超過",IF(E48=TODAY(),"🟡 今日","")))))</f>
        <v/>
      </c>
      <c r="H48" s="6"/>
      <c r="I48" s="6"/>
      <c r="J48" s="8"/>
      <c r="K48" s="8"/>
    </row>
    <row r="49" customFormat="false" ht="15" hidden="false" customHeight="false" outlineLevel="0" collapsed="false">
      <c r="A49" s="5" t="str">
        <f aca="false">IF(B49="","",ROW()-3)</f>
        <v/>
      </c>
      <c r="B49" s="6"/>
      <c r="C49" s="7"/>
      <c r="D49" s="7"/>
      <c r="E49" s="8"/>
      <c r="F49" s="7"/>
      <c r="G49" s="9" t="str">
        <f aca="true">IF(B49="","",IF(F49="完了","✓ 完了",IF(E49="","⚠ 期限未設定",IF(E49&lt;TODAY(),"🔴 超過",IF(E49=TODAY(),"🟡 今日","")))))</f>
        <v/>
      </c>
      <c r="H49" s="6"/>
      <c r="I49" s="6"/>
      <c r="J49" s="8"/>
      <c r="K49" s="8"/>
    </row>
    <row r="50" customFormat="false" ht="15" hidden="false" customHeight="false" outlineLevel="0" collapsed="false">
      <c r="A50" s="5" t="str">
        <f aca="false">IF(B50="","",ROW()-3)</f>
        <v/>
      </c>
      <c r="B50" s="6"/>
      <c r="C50" s="7"/>
      <c r="D50" s="7"/>
      <c r="E50" s="8"/>
      <c r="F50" s="7"/>
      <c r="G50" s="9" t="str">
        <f aca="true">IF(B50="","",IF(F50="完了","✓ 完了",IF(E50="","⚠ 期限未設定",IF(E50&lt;TODAY(),"🔴 超過",IF(E50=TODAY(),"🟡 今日","")))))</f>
        <v/>
      </c>
      <c r="H50" s="6"/>
      <c r="I50" s="6"/>
      <c r="J50" s="8"/>
      <c r="K50" s="8"/>
    </row>
    <row r="51" customFormat="false" ht="15" hidden="false" customHeight="false" outlineLevel="0" collapsed="false">
      <c r="A51" s="5" t="str">
        <f aca="false">IF(B51="","",ROW()-3)</f>
        <v/>
      </c>
      <c r="B51" s="6"/>
      <c r="C51" s="7"/>
      <c r="D51" s="7"/>
      <c r="E51" s="8"/>
      <c r="F51" s="7"/>
      <c r="G51" s="9" t="str">
        <f aca="true">IF(B51="","",IF(F51="完了","✓ 完了",IF(E51="","⚠ 期限未設定",IF(E51&lt;TODAY(),"🔴 超過",IF(E51=TODAY(),"🟡 今日","")))))</f>
        <v/>
      </c>
      <c r="H51" s="6"/>
      <c r="I51" s="6"/>
      <c r="J51" s="8"/>
      <c r="K51" s="8"/>
    </row>
    <row r="52" customFormat="false" ht="15" hidden="false" customHeight="false" outlineLevel="0" collapsed="false">
      <c r="A52" s="5" t="str">
        <f aca="false">IF(B52="","",ROW()-3)</f>
        <v/>
      </c>
      <c r="B52" s="6"/>
      <c r="C52" s="7"/>
      <c r="D52" s="7"/>
      <c r="E52" s="8"/>
      <c r="F52" s="7"/>
      <c r="G52" s="9" t="str">
        <f aca="true">IF(B52="","",IF(F52="完了","✓ 完了",IF(E52="","⚠ 期限未設定",IF(E52&lt;TODAY(),"🔴 超過",IF(E52=TODAY(),"🟡 今日","")))))</f>
        <v/>
      </c>
      <c r="H52" s="6"/>
      <c r="I52" s="6"/>
      <c r="J52" s="8"/>
      <c r="K52" s="8"/>
    </row>
    <row r="53" customFormat="false" ht="15" hidden="false" customHeight="false" outlineLevel="0" collapsed="false">
      <c r="A53" s="5" t="str">
        <f aca="false">IF(B53="","",ROW()-3)</f>
        <v/>
      </c>
      <c r="B53" s="6"/>
      <c r="C53" s="7"/>
      <c r="D53" s="7"/>
      <c r="E53" s="8"/>
      <c r="F53" s="7"/>
      <c r="G53" s="9" t="str">
        <f aca="true">IF(B53="","",IF(F53="完了","✓ 完了",IF(E53="","⚠ 期限未設定",IF(E53&lt;TODAY(),"🔴 超過",IF(E53=TODAY(),"🟡 今日","")))))</f>
        <v/>
      </c>
      <c r="H53" s="6"/>
      <c r="I53" s="6"/>
      <c r="J53" s="8"/>
      <c r="K53" s="8"/>
    </row>
    <row r="54" customFormat="false" ht="15" hidden="false" customHeight="false" outlineLevel="0" collapsed="false">
      <c r="A54" s="5" t="str">
        <f aca="false">IF(B54="","",ROW()-3)</f>
        <v/>
      </c>
      <c r="B54" s="6"/>
      <c r="C54" s="7"/>
      <c r="D54" s="7"/>
      <c r="E54" s="8"/>
      <c r="F54" s="7"/>
      <c r="G54" s="9" t="str">
        <f aca="true">IF(B54="","",IF(F54="完了","✓ 完了",IF(E54="","⚠ 期限未設定",IF(E54&lt;TODAY(),"🔴 超過",IF(E54=TODAY(),"🟡 今日","")))))</f>
        <v/>
      </c>
      <c r="H54" s="6"/>
      <c r="I54" s="6"/>
      <c r="J54" s="8"/>
      <c r="K54" s="8"/>
    </row>
    <row r="55" customFormat="false" ht="15" hidden="false" customHeight="false" outlineLevel="0" collapsed="false">
      <c r="A55" s="5" t="str">
        <f aca="false">IF(B55="","",ROW()-3)</f>
        <v/>
      </c>
      <c r="B55" s="6"/>
      <c r="C55" s="7"/>
      <c r="D55" s="7"/>
      <c r="E55" s="8"/>
      <c r="F55" s="7"/>
      <c r="G55" s="9" t="str">
        <f aca="true">IF(B55="","",IF(F55="完了","✓ 完了",IF(E55="","⚠ 期限未設定",IF(E55&lt;TODAY(),"🔴 超過",IF(E55=TODAY(),"🟡 今日","")))))</f>
        <v/>
      </c>
      <c r="H55" s="6"/>
      <c r="I55" s="6"/>
      <c r="J55" s="8"/>
      <c r="K55" s="8"/>
    </row>
    <row r="56" customFormat="false" ht="15" hidden="false" customHeight="false" outlineLevel="0" collapsed="false">
      <c r="A56" s="5" t="str">
        <f aca="false">IF(B56="","",ROW()-3)</f>
        <v/>
      </c>
      <c r="B56" s="6"/>
      <c r="C56" s="7"/>
      <c r="D56" s="7"/>
      <c r="E56" s="8"/>
      <c r="F56" s="7"/>
      <c r="G56" s="9" t="str">
        <f aca="true">IF(B56="","",IF(F56="完了","✓ 完了",IF(E56="","⚠ 期限未設定",IF(E56&lt;TODAY(),"🔴 超過",IF(E56=TODAY(),"🟡 今日","")))))</f>
        <v/>
      </c>
      <c r="H56" s="6"/>
      <c r="I56" s="6"/>
      <c r="J56" s="8"/>
      <c r="K56" s="8"/>
    </row>
    <row r="57" customFormat="false" ht="15" hidden="false" customHeight="false" outlineLevel="0" collapsed="false">
      <c r="A57" s="5" t="str">
        <f aca="false">IF(B57="","",ROW()-3)</f>
        <v/>
      </c>
      <c r="B57" s="6"/>
      <c r="C57" s="7"/>
      <c r="D57" s="7"/>
      <c r="E57" s="8"/>
      <c r="F57" s="7"/>
      <c r="G57" s="9" t="str">
        <f aca="true">IF(B57="","",IF(F57="完了","✓ 完了",IF(E57="","⚠ 期限未設定",IF(E57&lt;TODAY(),"🔴 超過",IF(E57=TODAY(),"🟡 今日","")))))</f>
        <v/>
      </c>
      <c r="H57" s="6"/>
      <c r="I57" s="6"/>
      <c r="J57" s="8"/>
      <c r="K57" s="8"/>
    </row>
    <row r="58" customFormat="false" ht="15" hidden="false" customHeight="false" outlineLevel="0" collapsed="false">
      <c r="A58" s="5" t="str">
        <f aca="false">IF(B58="","",ROW()-3)</f>
        <v/>
      </c>
      <c r="B58" s="6"/>
      <c r="C58" s="7"/>
      <c r="D58" s="7"/>
      <c r="E58" s="8"/>
      <c r="F58" s="7"/>
      <c r="G58" s="9" t="str">
        <f aca="true">IF(B58="","",IF(F58="完了","✓ 完了",IF(E58="","⚠ 期限未設定",IF(E58&lt;TODAY(),"🔴 超過",IF(E58=TODAY(),"🟡 今日","")))))</f>
        <v/>
      </c>
      <c r="H58" s="6"/>
      <c r="I58" s="6"/>
      <c r="J58" s="8"/>
      <c r="K58" s="8"/>
    </row>
    <row r="59" customFormat="false" ht="15" hidden="false" customHeight="false" outlineLevel="0" collapsed="false">
      <c r="A59" s="5" t="str">
        <f aca="false">IF(B59="","",ROW()-3)</f>
        <v/>
      </c>
      <c r="B59" s="6"/>
      <c r="C59" s="7"/>
      <c r="D59" s="7"/>
      <c r="E59" s="8"/>
      <c r="F59" s="7"/>
      <c r="G59" s="9" t="str">
        <f aca="true">IF(B59="","",IF(F59="完了","✓ 完了",IF(E59="","⚠ 期限未設定",IF(E59&lt;TODAY(),"🔴 超過",IF(E59=TODAY(),"🟡 今日","")))))</f>
        <v/>
      </c>
      <c r="H59" s="6"/>
      <c r="I59" s="6"/>
      <c r="J59" s="8"/>
      <c r="K59" s="8"/>
    </row>
    <row r="60" customFormat="false" ht="15" hidden="false" customHeight="false" outlineLevel="0" collapsed="false">
      <c r="A60" s="5" t="str">
        <f aca="false">IF(B60="","",ROW()-3)</f>
        <v/>
      </c>
      <c r="B60" s="6"/>
      <c r="C60" s="7"/>
      <c r="D60" s="7"/>
      <c r="E60" s="8"/>
      <c r="F60" s="7"/>
      <c r="G60" s="9" t="str">
        <f aca="true">IF(B60="","",IF(F60="完了","✓ 完了",IF(E60="","⚠ 期限未設定",IF(E60&lt;TODAY(),"🔴 超過",IF(E60=TODAY(),"🟡 今日","")))))</f>
        <v/>
      </c>
      <c r="H60" s="6"/>
      <c r="I60" s="6"/>
      <c r="J60" s="8"/>
      <c r="K60" s="8"/>
    </row>
    <row r="61" customFormat="false" ht="15" hidden="false" customHeight="false" outlineLevel="0" collapsed="false">
      <c r="A61" s="5" t="str">
        <f aca="false">IF(B61="","",ROW()-3)</f>
        <v/>
      </c>
      <c r="B61" s="6"/>
      <c r="C61" s="7"/>
      <c r="D61" s="7"/>
      <c r="E61" s="8"/>
      <c r="F61" s="7"/>
      <c r="G61" s="9" t="str">
        <f aca="true">IF(B61="","",IF(F61="完了","✓ 完了",IF(E61="","⚠ 期限未設定",IF(E61&lt;TODAY(),"🔴 超過",IF(E61=TODAY(),"🟡 今日","")))))</f>
        <v/>
      </c>
      <c r="H61" s="6"/>
      <c r="I61" s="6"/>
      <c r="J61" s="8"/>
      <c r="K61" s="8"/>
    </row>
    <row r="62" customFormat="false" ht="15" hidden="false" customHeight="false" outlineLevel="0" collapsed="false">
      <c r="A62" s="5" t="str">
        <f aca="false">IF(B62="","",ROW()-3)</f>
        <v/>
      </c>
      <c r="B62" s="6"/>
      <c r="C62" s="7"/>
      <c r="D62" s="7"/>
      <c r="E62" s="8"/>
      <c r="F62" s="7"/>
      <c r="G62" s="9" t="str">
        <f aca="true">IF(B62="","",IF(F62="完了","✓ 完了",IF(E62="","⚠ 期限未設定",IF(E62&lt;TODAY(),"🔴 超過",IF(E62=TODAY(),"🟡 今日","")))))</f>
        <v/>
      </c>
      <c r="H62" s="6"/>
      <c r="I62" s="6"/>
      <c r="J62" s="8"/>
      <c r="K62" s="8"/>
    </row>
    <row r="63" customFormat="false" ht="15" hidden="false" customHeight="false" outlineLevel="0" collapsed="false">
      <c r="A63" s="5" t="str">
        <f aca="false">IF(B63="","",ROW()-3)</f>
        <v/>
      </c>
      <c r="B63" s="6"/>
      <c r="C63" s="7"/>
      <c r="D63" s="7"/>
      <c r="E63" s="8"/>
      <c r="F63" s="7"/>
      <c r="G63" s="9" t="str">
        <f aca="true">IF(B63="","",IF(F63="完了","✓ 完了",IF(E63="","⚠ 期限未設定",IF(E63&lt;TODAY(),"🔴 超過",IF(E63=TODAY(),"🟡 今日","")))))</f>
        <v/>
      </c>
      <c r="H63" s="6"/>
      <c r="I63" s="6"/>
      <c r="J63" s="8"/>
      <c r="K63" s="8"/>
    </row>
    <row r="64" customFormat="false" ht="15" hidden="false" customHeight="false" outlineLevel="0" collapsed="false">
      <c r="A64" s="5" t="str">
        <f aca="false">IF(B64="","",ROW()-3)</f>
        <v/>
      </c>
      <c r="B64" s="6"/>
      <c r="C64" s="7"/>
      <c r="D64" s="7"/>
      <c r="E64" s="8"/>
      <c r="F64" s="7"/>
      <c r="G64" s="9" t="str">
        <f aca="true">IF(B64="","",IF(F64="完了","✓ 完了",IF(E64="","⚠ 期限未設定",IF(E64&lt;TODAY(),"🔴 超過",IF(E64=TODAY(),"🟡 今日","")))))</f>
        <v/>
      </c>
      <c r="H64" s="6"/>
      <c r="I64" s="6"/>
      <c r="J64" s="8"/>
      <c r="K64" s="8"/>
    </row>
    <row r="65" customFormat="false" ht="15" hidden="false" customHeight="false" outlineLevel="0" collapsed="false">
      <c r="A65" s="5" t="str">
        <f aca="false">IF(B65="","",ROW()-3)</f>
        <v/>
      </c>
      <c r="B65" s="6"/>
      <c r="C65" s="7"/>
      <c r="D65" s="7"/>
      <c r="E65" s="8"/>
      <c r="F65" s="7"/>
      <c r="G65" s="9" t="str">
        <f aca="true">IF(B65="","",IF(F65="完了","✓ 完了",IF(E65="","⚠ 期限未設定",IF(E65&lt;TODAY(),"🔴 超過",IF(E65=TODAY(),"🟡 今日","")))))</f>
        <v/>
      </c>
      <c r="H65" s="6"/>
      <c r="I65" s="6"/>
      <c r="J65" s="8"/>
      <c r="K65" s="8"/>
    </row>
    <row r="66" customFormat="false" ht="15" hidden="false" customHeight="false" outlineLevel="0" collapsed="false">
      <c r="A66" s="5" t="str">
        <f aca="false">IF(B66="","",ROW()-3)</f>
        <v/>
      </c>
      <c r="B66" s="6"/>
      <c r="C66" s="7"/>
      <c r="D66" s="7"/>
      <c r="E66" s="8"/>
      <c r="F66" s="7"/>
      <c r="G66" s="9" t="str">
        <f aca="true">IF(B66="","",IF(F66="完了","✓ 完了",IF(E66="","⚠ 期限未設定",IF(E66&lt;TODAY(),"🔴 超過",IF(E66=TODAY(),"🟡 今日","")))))</f>
        <v/>
      </c>
      <c r="H66" s="6"/>
      <c r="I66" s="6"/>
      <c r="J66" s="8"/>
      <c r="K66" s="8"/>
    </row>
    <row r="67" customFormat="false" ht="15" hidden="false" customHeight="false" outlineLevel="0" collapsed="false">
      <c r="A67" s="5" t="str">
        <f aca="false">IF(B67="","",ROW()-3)</f>
        <v/>
      </c>
      <c r="B67" s="6"/>
      <c r="C67" s="7"/>
      <c r="D67" s="7"/>
      <c r="E67" s="8"/>
      <c r="F67" s="7"/>
      <c r="G67" s="9" t="str">
        <f aca="true">IF(B67="","",IF(F67="完了","✓ 完了",IF(E67="","⚠ 期限未設定",IF(E67&lt;TODAY(),"🔴 超過",IF(E67=TODAY(),"🟡 今日","")))))</f>
        <v/>
      </c>
      <c r="H67" s="6"/>
      <c r="I67" s="6"/>
      <c r="J67" s="8"/>
      <c r="K67" s="8"/>
    </row>
    <row r="68" customFormat="false" ht="15" hidden="false" customHeight="false" outlineLevel="0" collapsed="false">
      <c r="A68" s="5" t="str">
        <f aca="false">IF(B68="","",ROW()-3)</f>
        <v/>
      </c>
      <c r="B68" s="6"/>
      <c r="C68" s="7"/>
      <c r="D68" s="7"/>
      <c r="E68" s="8"/>
      <c r="F68" s="7"/>
      <c r="G68" s="9" t="str">
        <f aca="true">IF(B68="","",IF(F68="完了","✓ 完了",IF(E68="","⚠ 期限未設定",IF(E68&lt;TODAY(),"🔴 超過",IF(E68=TODAY(),"🟡 今日","")))))</f>
        <v/>
      </c>
      <c r="H68" s="6"/>
      <c r="I68" s="6"/>
      <c r="J68" s="8"/>
      <c r="K68" s="8"/>
    </row>
    <row r="69" customFormat="false" ht="15" hidden="false" customHeight="false" outlineLevel="0" collapsed="false">
      <c r="A69" s="5" t="str">
        <f aca="false">IF(B69="","",ROW()-3)</f>
        <v/>
      </c>
      <c r="B69" s="6"/>
      <c r="C69" s="7"/>
      <c r="D69" s="7"/>
      <c r="E69" s="8"/>
      <c r="F69" s="7"/>
      <c r="G69" s="9" t="str">
        <f aca="true">IF(B69="","",IF(F69="完了","✓ 完了",IF(E69="","⚠ 期限未設定",IF(E69&lt;TODAY(),"🔴 超過",IF(E69=TODAY(),"🟡 今日","")))))</f>
        <v/>
      </c>
      <c r="H69" s="6"/>
      <c r="I69" s="6"/>
      <c r="J69" s="8"/>
      <c r="K69" s="8"/>
    </row>
    <row r="70" customFormat="false" ht="15" hidden="false" customHeight="false" outlineLevel="0" collapsed="false">
      <c r="A70" s="5" t="str">
        <f aca="false">IF(B70="","",ROW()-3)</f>
        <v/>
      </c>
      <c r="B70" s="6"/>
      <c r="C70" s="7"/>
      <c r="D70" s="7"/>
      <c r="E70" s="8"/>
      <c r="F70" s="7"/>
      <c r="G70" s="9" t="str">
        <f aca="true">IF(B70="","",IF(F70="完了","✓ 完了",IF(E70="","⚠ 期限未設定",IF(E70&lt;TODAY(),"🔴 超過",IF(E70=TODAY(),"🟡 今日","")))))</f>
        <v/>
      </c>
      <c r="H70" s="6"/>
      <c r="I70" s="6"/>
      <c r="J70" s="8"/>
      <c r="K70" s="8"/>
    </row>
    <row r="71" customFormat="false" ht="15" hidden="false" customHeight="false" outlineLevel="0" collapsed="false">
      <c r="A71" s="5" t="str">
        <f aca="false">IF(B71="","",ROW()-3)</f>
        <v/>
      </c>
      <c r="B71" s="6"/>
      <c r="C71" s="7"/>
      <c r="D71" s="7"/>
      <c r="E71" s="8"/>
      <c r="F71" s="7"/>
      <c r="G71" s="9" t="str">
        <f aca="true">IF(B71="","",IF(F71="完了","✓ 完了",IF(E71="","⚠ 期限未設定",IF(E71&lt;TODAY(),"🔴 超過",IF(E71=TODAY(),"🟡 今日","")))))</f>
        <v/>
      </c>
      <c r="H71" s="6"/>
      <c r="I71" s="6"/>
      <c r="J71" s="8"/>
      <c r="K71" s="8"/>
    </row>
    <row r="72" customFormat="false" ht="15" hidden="false" customHeight="false" outlineLevel="0" collapsed="false">
      <c r="A72" s="5" t="str">
        <f aca="false">IF(B72="","",ROW()-3)</f>
        <v/>
      </c>
      <c r="B72" s="6"/>
      <c r="C72" s="7"/>
      <c r="D72" s="7"/>
      <c r="E72" s="8"/>
      <c r="F72" s="7"/>
      <c r="G72" s="9" t="str">
        <f aca="true">IF(B72="","",IF(F72="完了","✓ 完了",IF(E72="","⚠ 期限未設定",IF(E72&lt;TODAY(),"🔴 超過",IF(E72=TODAY(),"🟡 今日","")))))</f>
        <v/>
      </c>
      <c r="H72" s="6"/>
      <c r="I72" s="6"/>
      <c r="J72" s="8"/>
      <c r="K72" s="8"/>
    </row>
    <row r="73" customFormat="false" ht="15" hidden="false" customHeight="false" outlineLevel="0" collapsed="false">
      <c r="A73" s="5" t="str">
        <f aca="false">IF(B73="","",ROW()-3)</f>
        <v/>
      </c>
      <c r="B73" s="6"/>
      <c r="C73" s="7"/>
      <c r="D73" s="7"/>
      <c r="E73" s="8"/>
      <c r="F73" s="7"/>
      <c r="G73" s="9" t="str">
        <f aca="true">IF(B73="","",IF(F73="完了","✓ 完了",IF(E73="","⚠ 期限未設定",IF(E73&lt;TODAY(),"🔴 超過",IF(E73=TODAY(),"🟡 今日","")))))</f>
        <v/>
      </c>
      <c r="H73" s="6"/>
      <c r="I73" s="6"/>
      <c r="J73" s="8"/>
      <c r="K73" s="8"/>
    </row>
    <row r="74" customFormat="false" ht="15" hidden="false" customHeight="false" outlineLevel="0" collapsed="false">
      <c r="A74" s="5" t="str">
        <f aca="false">IF(B74="","",ROW()-3)</f>
        <v/>
      </c>
      <c r="B74" s="6"/>
      <c r="C74" s="7"/>
      <c r="D74" s="7"/>
      <c r="E74" s="8"/>
      <c r="F74" s="7"/>
      <c r="G74" s="9" t="str">
        <f aca="true">IF(B74="","",IF(F74="完了","✓ 完了",IF(E74="","⚠ 期限未設定",IF(E74&lt;TODAY(),"🔴 超過",IF(E74=TODAY(),"🟡 今日","")))))</f>
        <v/>
      </c>
      <c r="H74" s="6"/>
      <c r="I74" s="6"/>
      <c r="J74" s="8"/>
      <c r="K74" s="8"/>
    </row>
    <row r="75" customFormat="false" ht="15" hidden="false" customHeight="false" outlineLevel="0" collapsed="false">
      <c r="A75" s="5" t="str">
        <f aca="false">IF(B75="","",ROW()-3)</f>
        <v/>
      </c>
      <c r="B75" s="6"/>
      <c r="C75" s="7"/>
      <c r="D75" s="7"/>
      <c r="E75" s="8"/>
      <c r="F75" s="7"/>
      <c r="G75" s="9" t="str">
        <f aca="true">IF(B75="","",IF(F75="完了","✓ 完了",IF(E75="","⚠ 期限未設定",IF(E75&lt;TODAY(),"🔴 超過",IF(E75=TODAY(),"🟡 今日","")))))</f>
        <v/>
      </c>
      <c r="H75" s="6"/>
      <c r="I75" s="6"/>
      <c r="J75" s="8"/>
      <c r="K75" s="8"/>
    </row>
    <row r="76" customFormat="false" ht="15" hidden="false" customHeight="false" outlineLevel="0" collapsed="false">
      <c r="A76" s="5" t="str">
        <f aca="false">IF(B76="","",ROW()-3)</f>
        <v/>
      </c>
      <c r="B76" s="6"/>
      <c r="C76" s="7"/>
      <c r="D76" s="7"/>
      <c r="E76" s="8"/>
      <c r="F76" s="7"/>
      <c r="G76" s="9" t="str">
        <f aca="true">IF(B76="","",IF(F76="完了","✓ 完了",IF(E76="","⚠ 期限未設定",IF(E76&lt;TODAY(),"🔴 超過",IF(E76=TODAY(),"🟡 今日","")))))</f>
        <v/>
      </c>
      <c r="H76" s="6"/>
      <c r="I76" s="6"/>
      <c r="J76" s="8"/>
      <c r="K76" s="8"/>
    </row>
    <row r="77" customFormat="false" ht="15" hidden="false" customHeight="false" outlineLevel="0" collapsed="false">
      <c r="A77" s="5" t="str">
        <f aca="false">IF(B77="","",ROW()-3)</f>
        <v/>
      </c>
      <c r="B77" s="6"/>
      <c r="C77" s="7"/>
      <c r="D77" s="7"/>
      <c r="E77" s="8"/>
      <c r="F77" s="7"/>
      <c r="G77" s="9" t="str">
        <f aca="true">IF(B77="","",IF(F77="完了","✓ 完了",IF(E77="","⚠ 期限未設定",IF(E77&lt;TODAY(),"🔴 超過",IF(E77=TODAY(),"🟡 今日","")))))</f>
        <v/>
      </c>
      <c r="H77" s="6"/>
      <c r="I77" s="6"/>
      <c r="J77" s="8"/>
      <c r="K77" s="8"/>
    </row>
    <row r="78" customFormat="false" ht="15" hidden="false" customHeight="false" outlineLevel="0" collapsed="false">
      <c r="A78" s="5" t="str">
        <f aca="false">IF(B78="","",ROW()-3)</f>
        <v/>
      </c>
      <c r="B78" s="6"/>
      <c r="C78" s="7"/>
      <c r="D78" s="7"/>
      <c r="E78" s="8"/>
      <c r="F78" s="7"/>
      <c r="G78" s="9" t="str">
        <f aca="true">IF(B78="","",IF(F78="完了","✓ 完了",IF(E78="","⚠ 期限未設定",IF(E78&lt;TODAY(),"🔴 超過",IF(E78=TODAY(),"🟡 今日","")))))</f>
        <v/>
      </c>
      <c r="H78" s="6"/>
      <c r="I78" s="6"/>
      <c r="J78" s="8"/>
      <c r="K78" s="8"/>
    </row>
    <row r="79" customFormat="false" ht="15" hidden="false" customHeight="false" outlineLevel="0" collapsed="false">
      <c r="A79" s="5" t="str">
        <f aca="false">IF(B79="","",ROW()-3)</f>
        <v/>
      </c>
      <c r="B79" s="6"/>
      <c r="C79" s="7"/>
      <c r="D79" s="7"/>
      <c r="E79" s="8"/>
      <c r="F79" s="7"/>
      <c r="G79" s="9" t="str">
        <f aca="true">IF(B79="","",IF(F79="完了","✓ 完了",IF(E79="","⚠ 期限未設定",IF(E79&lt;TODAY(),"🔴 超過",IF(E79=TODAY(),"🟡 今日","")))))</f>
        <v/>
      </c>
      <c r="H79" s="6"/>
      <c r="I79" s="6"/>
      <c r="J79" s="8"/>
      <c r="K79" s="8"/>
    </row>
    <row r="80" customFormat="false" ht="15" hidden="false" customHeight="false" outlineLevel="0" collapsed="false">
      <c r="A80" s="5" t="str">
        <f aca="false">IF(B80="","",ROW()-3)</f>
        <v/>
      </c>
      <c r="B80" s="6"/>
      <c r="C80" s="7"/>
      <c r="D80" s="7"/>
      <c r="E80" s="8"/>
      <c r="F80" s="7"/>
      <c r="G80" s="9" t="str">
        <f aca="true">IF(B80="","",IF(F80="完了","✓ 完了",IF(E80="","⚠ 期限未設定",IF(E80&lt;TODAY(),"🔴 超過",IF(E80=TODAY(),"🟡 今日","")))))</f>
        <v/>
      </c>
      <c r="H80" s="6"/>
      <c r="I80" s="6"/>
      <c r="J80" s="8"/>
      <c r="K80" s="8"/>
    </row>
    <row r="81" customFormat="false" ht="15" hidden="false" customHeight="false" outlineLevel="0" collapsed="false">
      <c r="A81" s="5" t="str">
        <f aca="false">IF(B81="","",ROW()-3)</f>
        <v/>
      </c>
      <c r="B81" s="6"/>
      <c r="C81" s="7"/>
      <c r="D81" s="7"/>
      <c r="E81" s="8"/>
      <c r="F81" s="7"/>
      <c r="G81" s="9" t="str">
        <f aca="true">IF(B81="","",IF(F81="完了","✓ 完了",IF(E81="","⚠ 期限未設定",IF(E81&lt;TODAY(),"🔴 超過",IF(E81=TODAY(),"🟡 今日","")))))</f>
        <v/>
      </c>
      <c r="H81" s="6"/>
      <c r="I81" s="6"/>
      <c r="J81" s="8"/>
      <c r="K81" s="8"/>
    </row>
    <row r="82" customFormat="false" ht="15" hidden="false" customHeight="false" outlineLevel="0" collapsed="false">
      <c r="A82" s="5" t="str">
        <f aca="false">IF(B82="","",ROW()-3)</f>
        <v/>
      </c>
      <c r="B82" s="6"/>
      <c r="C82" s="7"/>
      <c r="D82" s="7"/>
      <c r="E82" s="8"/>
      <c r="F82" s="7"/>
      <c r="G82" s="9" t="str">
        <f aca="true">IF(B82="","",IF(F82="完了","✓ 完了",IF(E82="","⚠ 期限未設定",IF(E82&lt;TODAY(),"🔴 超過",IF(E82=TODAY(),"🟡 今日","")))))</f>
        <v/>
      </c>
      <c r="H82" s="6"/>
      <c r="I82" s="6"/>
      <c r="J82" s="8"/>
      <c r="K82" s="8"/>
    </row>
    <row r="83" customFormat="false" ht="15" hidden="false" customHeight="false" outlineLevel="0" collapsed="false">
      <c r="A83" s="5" t="str">
        <f aca="false">IF(B83="","",ROW()-3)</f>
        <v/>
      </c>
      <c r="B83" s="6"/>
      <c r="C83" s="7"/>
      <c r="D83" s="7"/>
      <c r="E83" s="8"/>
      <c r="F83" s="7"/>
      <c r="G83" s="9" t="str">
        <f aca="true">IF(B83="","",IF(F83="完了","✓ 完了",IF(E83="","⚠ 期限未設定",IF(E83&lt;TODAY(),"🔴 超過",IF(E83=TODAY(),"🟡 今日","")))))</f>
        <v/>
      </c>
      <c r="H83" s="6"/>
      <c r="I83" s="6"/>
      <c r="J83" s="8"/>
      <c r="K83" s="8"/>
    </row>
    <row r="84" customFormat="false" ht="15" hidden="false" customHeight="false" outlineLevel="0" collapsed="false">
      <c r="A84" s="5" t="str">
        <f aca="false">IF(B84="","",ROW()-3)</f>
        <v/>
      </c>
      <c r="B84" s="6"/>
      <c r="C84" s="7"/>
      <c r="D84" s="7"/>
      <c r="E84" s="8"/>
      <c r="F84" s="7"/>
      <c r="G84" s="9" t="str">
        <f aca="true">IF(B84="","",IF(F84="完了","✓ 完了",IF(E84="","⚠ 期限未設定",IF(E84&lt;TODAY(),"🔴 超過",IF(E84=TODAY(),"🟡 今日","")))))</f>
        <v/>
      </c>
      <c r="H84" s="6"/>
      <c r="I84" s="6"/>
      <c r="J84" s="8"/>
      <c r="K84" s="8"/>
    </row>
    <row r="85" customFormat="false" ht="15" hidden="false" customHeight="false" outlineLevel="0" collapsed="false">
      <c r="A85" s="5" t="str">
        <f aca="false">IF(B85="","",ROW()-3)</f>
        <v/>
      </c>
      <c r="B85" s="6"/>
      <c r="C85" s="7"/>
      <c r="D85" s="7"/>
      <c r="E85" s="8"/>
      <c r="F85" s="7"/>
      <c r="G85" s="9" t="str">
        <f aca="true">IF(B85="","",IF(F85="完了","✓ 完了",IF(E85="","⚠ 期限未設定",IF(E85&lt;TODAY(),"🔴 超過",IF(E85=TODAY(),"🟡 今日","")))))</f>
        <v/>
      </c>
      <c r="H85" s="6"/>
      <c r="I85" s="6"/>
      <c r="J85" s="8"/>
      <c r="K85" s="8"/>
    </row>
    <row r="86" customFormat="false" ht="15" hidden="false" customHeight="false" outlineLevel="0" collapsed="false">
      <c r="A86" s="5" t="str">
        <f aca="false">IF(B86="","",ROW()-3)</f>
        <v/>
      </c>
      <c r="B86" s="6"/>
      <c r="C86" s="7"/>
      <c r="D86" s="7"/>
      <c r="E86" s="8"/>
      <c r="F86" s="7"/>
      <c r="G86" s="9" t="str">
        <f aca="true">IF(B86="","",IF(F86="完了","✓ 完了",IF(E86="","⚠ 期限未設定",IF(E86&lt;TODAY(),"🔴 超過",IF(E86=TODAY(),"🟡 今日","")))))</f>
        <v/>
      </c>
      <c r="H86" s="6"/>
      <c r="I86" s="6"/>
      <c r="J86" s="8"/>
      <c r="K86" s="8"/>
    </row>
    <row r="87" customFormat="false" ht="15" hidden="false" customHeight="false" outlineLevel="0" collapsed="false">
      <c r="A87" s="5" t="str">
        <f aca="false">IF(B87="","",ROW()-3)</f>
        <v/>
      </c>
      <c r="B87" s="6"/>
      <c r="C87" s="7"/>
      <c r="D87" s="7"/>
      <c r="E87" s="8"/>
      <c r="F87" s="7"/>
      <c r="G87" s="9" t="str">
        <f aca="true">IF(B87="","",IF(F87="完了","✓ 完了",IF(E87="","⚠ 期限未設定",IF(E87&lt;TODAY(),"🔴 超過",IF(E87=TODAY(),"🟡 今日","")))))</f>
        <v/>
      </c>
      <c r="H87" s="6"/>
      <c r="I87" s="6"/>
      <c r="J87" s="8"/>
      <c r="K87" s="8"/>
    </row>
    <row r="88" customFormat="false" ht="15" hidden="false" customHeight="false" outlineLevel="0" collapsed="false">
      <c r="A88" s="5" t="str">
        <f aca="false">IF(B88="","",ROW()-3)</f>
        <v/>
      </c>
      <c r="B88" s="6"/>
      <c r="C88" s="7"/>
      <c r="D88" s="7"/>
      <c r="E88" s="8"/>
      <c r="F88" s="7"/>
      <c r="G88" s="9" t="str">
        <f aca="true">IF(B88="","",IF(F88="完了","✓ 完了",IF(E88="","⚠ 期限未設定",IF(E88&lt;TODAY(),"🔴 超過",IF(E88=TODAY(),"🟡 今日","")))))</f>
        <v/>
      </c>
      <c r="H88" s="6"/>
      <c r="I88" s="6"/>
      <c r="J88" s="8"/>
      <c r="K88" s="8"/>
    </row>
    <row r="89" customFormat="false" ht="15" hidden="false" customHeight="false" outlineLevel="0" collapsed="false">
      <c r="A89" s="5" t="str">
        <f aca="false">IF(B89="","",ROW()-3)</f>
        <v/>
      </c>
      <c r="B89" s="6"/>
      <c r="C89" s="7"/>
      <c r="D89" s="7"/>
      <c r="E89" s="8"/>
      <c r="F89" s="7"/>
      <c r="G89" s="9" t="str">
        <f aca="true">IF(B89="","",IF(F89="完了","✓ 完了",IF(E89="","⚠ 期限未設定",IF(E89&lt;TODAY(),"🔴 超過",IF(E89=TODAY(),"🟡 今日","")))))</f>
        <v/>
      </c>
      <c r="H89" s="6"/>
      <c r="I89" s="6"/>
      <c r="J89" s="8"/>
      <c r="K89" s="8"/>
    </row>
    <row r="90" customFormat="false" ht="15" hidden="false" customHeight="false" outlineLevel="0" collapsed="false">
      <c r="A90" s="5" t="str">
        <f aca="false">IF(B90="","",ROW()-3)</f>
        <v/>
      </c>
      <c r="B90" s="6"/>
      <c r="C90" s="7"/>
      <c r="D90" s="7"/>
      <c r="E90" s="8"/>
      <c r="F90" s="7"/>
      <c r="G90" s="9" t="str">
        <f aca="true">IF(B90="","",IF(F90="完了","✓ 完了",IF(E90="","⚠ 期限未設定",IF(E90&lt;TODAY(),"🔴 超過",IF(E90=TODAY(),"🟡 今日","")))))</f>
        <v/>
      </c>
      <c r="H90" s="6"/>
      <c r="I90" s="6"/>
      <c r="J90" s="8"/>
      <c r="K90" s="8"/>
    </row>
    <row r="91" customFormat="false" ht="15" hidden="false" customHeight="false" outlineLevel="0" collapsed="false">
      <c r="A91" s="5" t="str">
        <f aca="false">IF(B91="","",ROW()-3)</f>
        <v/>
      </c>
      <c r="B91" s="6"/>
      <c r="C91" s="7"/>
      <c r="D91" s="7"/>
      <c r="E91" s="8"/>
      <c r="F91" s="7"/>
      <c r="G91" s="9" t="str">
        <f aca="true">IF(B91="","",IF(F91="完了","✓ 完了",IF(E91="","⚠ 期限未設定",IF(E91&lt;TODAY(),"🔴 超過",IF(E91=TODAY(),"🟡 今日","")))))</f>
        <v/>
      </c>
      <c r="H91" s="6"/>
      <c r="I91" s="6"/>
      <c r="J91" s="8"/>
      <c r="K91" s="8"/>
    </row>
    <row r="92" customFormat="false" ht="15" hidden="false" customHeight="false" outlineLevel="0" collapsed="false">
      <c r="A92" s="5" t="str">
        <f aca="false">IF(B92="","",ROW()-3)</f>
        <v/>
      </c>
      <c r="B92" s="6"/>
      <c r="C92" s="7"/>
      <c r="D92" s="7"/>
      <c r="E92" s="8"/>
      <c r="F92" s="7"/>
      <c r="G92" s="9" t="str">
        <f aca="true">IF(B92="","",IF(F92="完了","✓ 完了",IF(E92="","⚠ 期限未設定",IF(E92&lt;TODAY(),"🔴 超過",IF(E92=TODAY(),"🟡 今日","")))))</f>
        <v/>
      </c>
      <c r="H92" s="6"/>
      <c r="I92" s="6"/>
      <c r="J92" s="8"/>
      <c r="K92" s="8"/>
    </row>
    <row r="93" customFormat="false" ht="15" hidden="false" customHeight="false" outlineLevel="0" collapsed="false">
      <c r="A93" s="5" t="str">
        <f aca="false">IF(B93="","",ROW()-3)</f>
        <v/>
      </c>
      <c r="B93" s="6"/>
      <c r="C93" s="7"/>
      <c r="D93" s="7"/>
      <c r="E93" s="8"/>
      <c r="F93" s="7"/>
      <c r="G93" s="9" t="str">
        <f aca="true">IF(B93="","",IF(F93="完了","✓ 完了",IF(E93="","⚠ 期限未設定",IF(E93&lt;TODAY(),"🔴 超過",IF(E93=TODAY(),"🟡 今日","")))))</f>
        <v/>
      </c>
      <c r="H93" s="6"/>
      <c r="I93" s="6"/>
      <c r="J93" s="8"/>
      <c r="K93" s="8"/>
    </row>
    <row r="94" customFormat="false" ht="15" hidden="false" customHeight="false" outlineLevel="0" collapsed="false">
      <c r="A94" s="5" t="str">
        <f aca="false">IF(B94="","",ROW()-3)</f>
        <v/>
      </c>
      <c r="B94" s="6"/>
      <c r="C94" s="7"/>
      <c r="D94" s="7"/>
      <c r="E94" s="8"/>
      <c r="F94" s="7"/>
      <c r="G94" s="9" t="str">
        <f aca="true">IF(B94="","",IF(F94="完了","✓ 完了",IF(E94="","⚠ 期限未設定",IF(E94&lt;TODAY(),"🔴 超過",IF(E94=TODAY(),"🟡 今日","")))))</f>
        <v/>
      </c>
      <c r="H94" s="6"/>
      <c r="I94" s="6"/>
      <c r="J94" s="8"/>
      <c r="K94" s="8"/>
    </row>
    <row r="95" customFormat="false" ht="15" hidden="false" customHeight="false" outlineLevel="0" collapsed="false">
      <c r="A95" s="5" t="str">
        <f aca="false">IF(B95="","",ROW()-3)</f>
        <v/>
      </c>
      <c r="B95" s="6"/>
      <c r="C95" s="7"/>
      <c r="D95" s="7"/>
      <c r="E95" s="8"/>
      <c r="F95" s="7"/>
      <c r="G95" s="9" t="str">
        <f aca="true">IF(B95="","",IF(F95="完了","✓ 完了",IF(E95="","⚠ 期限未設定",IF(E95&lt;TODAY(),"🔴 超過",IF(E95=TODAY(),"🟡 今日","")))))</f>
        <v/>
      </c>
      <c r="H95" s="6"/>
      <c r="I95" s="6"/>
      <c r="J95" s="8"/>
      <c r="K95" s="8"/>
    </row>
    <row r="96" customFormat="false" ht="15" hidden="false" customHeight="false" outlineLevel="0" collapsed="false">
      <c r="A96" s="5" t="str">
        <f aca="false">IF(B96="","",ROW()-3)</f>
        <v/>
      </c>
      <c r="B96" s="6"/>
      <c r="C96" s="7"/>
      <c r="D96" s="7"/>
      <c r="E96" s="8"/>
      <c r="F96" s="7"/>
      <c r="G96" s="9" t="str">
        <f aca="true">IF(B96="","",IF(F96="完了","✓ 完了",IF(E96="","⚠ 期限未設定",IF(E96&lt;TODAY(),"🔴 超過",IF(E96=TODAY(),"🟡 今日","")))))</f>
        <v/>
      </c>
      <c r="H96" s="6"/>
      <c r="I96" s="6"/>
      <c r="J96" s="8"/>
      <c r="K96" s="8"/>
    </row>
    <row r="97" customFormat="false" ht="15" hidden="false" customHeight="false" outlineLevel="0" collapsed="false">
      <c r="A97" s="5" t="str">
        <f aca="false">IF(B97="","",ROW()-3)</f>
        <v/>
      </c>
      <c r="B97" s="6"/>
      <c r="C97" s="7"/>
      <c r="D97" s="7"/>
      <c r="E97" s="8"/>
      <c r="F97" s="7"/>
      <c r="G97" s="9" t="str">
        <f aca="true">IF(B97="","",IF(F97="完了","✓ 完了",IF(E97="","⚠ 期限未設定",IF(E97&lt;TODAY(),"🔴 超過",IF(E97=TODAY(),"🟡 今日","")))))</f>
        <v/>
      </c>
      <c r="H97" s="6"/>
      <c r="I97" s="6"/>
      <c r="J97" s="8"/>
      <c r="K97" s="8"/>
    </row>
    <row r="98" customFormat="false" ht="15" hidden="false" customHeight="false" outlineLevel="0" collapsed="false">
      <c r="A98" s="5" t="str">
        <f aca="false">IF(B98="","",ROW()-3)</f>
        <v/>
      </c>
      <c r="B98" s="6"/>
      <c r="C98" s="7"/>
      <c r="D98" s="7"/>
      <c r="E98" s="8"/>
      <c r="F98" s="7"/>
      <c r="G98" s="9" t="str">
        <f aca="true">IF(B98="","",IF(F98="完了","✓ 完了",IF(E98="","⚠ 期限未設定",IF(E98&lt;TODAY(),"🔴 超過",IF(E98=TODAY(),"🟡 今日","")))))</f>
        <v/>
      </c>
      <c r="H98" s="6"/>
      <c r="I98" s="6"/>
      <c r="J98" s="8"/>
      <c r="K98" s="8"/>
    </row>
    <row r="99" customFormat="false" ht="15" hidden="false" customHeight="false" outlineLevel="0" collapsed="false">
      <c r="A99" s="5" t="str">
        <f aca="false">IF(B99="","",ROW()-3)</f>
        <v/>
      </c>
      <c r="B99" s="6"/>
      <c r="C99" s="7"/>
      <c r="D99" s="7"/>
      <c r="E99" s="8"/>
      <c r="F99" s="7"/>
      <c r="G99" s="9" t="str">
        <f aca="true">IF(B99="","",IF(F99="完了","✓ 完了",IF(E99="","⚠ 期限未設定",IF(E99&lt;TODAY(),"🔴 超過",IF(E99=TODAY(),"🟡 今日","")))))</f>
        <v/>
      </c>
      <c r="H99" s="6"/>
      <c r="I99" s="6"/>
      <c r="J99" s="8"/>
      <c r="K99" s="8"/>
    </row>
    <row r="100" customFormat="false" ht="15" hidden="false" customHeight="false" outlineLevel="0" collapsed="false">
      <c r="A100" s="5" t="str">
        <f aca="false">IF(B100="","",ROW()-3)</f>
        <v/>
      </c>
      <c r="B100" s="6"/>
      <c r="C100" s="7"/>
      <c r="D100" s="7"/>
      <c r="E100" s="8"/>
      <c r="F100" s="7"/>
      <c r="G100" s="9" t="str">
        <f aca="true">IF(B100="","",IF(F100="完了","✓ 完了",IF(E100="","⚠ 期限未設定",IF(E100&lt;TODAY(),"🔴 超過",IF(E100=TODAY(),"🟡 今日","")))))</f>
        <v/>
      </c>
      <c r="H100" s="6"/>
      <c r="I100" s="6"/>
      <c r="J100" s="8"/>
      <c r="K100" s="8"/>
    </row>
    <row r="101" customFormat="false" ht="15" hidden="false" customHeight="false" outlineLevel="0" collapsed="false">
      <c r="A101" s="5" t="str">
        <f aca="false">IF(B101="","",ROW()-3)</f>
        <v/>
      </c>
      <c r="B101" s="6"/>
      <c r="C101" s="7"/>
      <c r="D101" s="7"/>
      <c r="E101" s="8"/>
      <c r="F101" s="7"/>
      <c r="G101" s="9" t="str">
        <f aca="true">IF(B101="","",IF(F101="完了","✓ 完了",IF(E101="","⚠ 期限未設定",IF(E101&lt;TODAY(),"🔴 超過",IF(E101=TODAY(),"🟡 今日","")))))</f>
        <v/>
      </c>
      <c r="H101" s="6"/>
      <c r="I101" s="6"/>
      <c r="J101" s="8"/>
      <c r="K101" s="8"/>
    </row>
    <row r="102" customFormat="false" ht="15" hidden="false" customHeight="false" outlineLevel="0" collapsed="false">
      <c r="A102" s="5" t="str">
        <f aca="false">IF(B102="","",ROW()-3)</f>
        <v/>
      </c>
      <c r="B102" s="6"/>
      <c r="C102" s="7"/>
      <c r="D102" s="7"/>
      <c r="E102" s="8"/>
      <c r="F102" s="7"/>
      <c r="G102" s="9" t="str">
        <f aca="true">IF(B102="","",IF(F102="完了","✓ 完了",IF(E102="","⚠ 期限未設定",IF(E102&lt;TODAY(),"🔴 超過",IF(E102=TODAY(),"🟡 今日","")))))</f>
        <v/>
      </c>
      <c r="H102" s="6"/>
      <c r="I102" s="6"/>
      <c r="J102" s="8"/>
      <c r="K102" s="8"/>
    </row>
    <row r="103" customFormat="false" ht="15" hidden="false" customHeight="false" outlineLevel="0" collapsed="false">
      <c r="A103" s="5" t="str">
        <f aca="false">IF(B103="","",ROW()-3)</f>
        <v/>
      </c>
      <c r="B103" s="6"/>
      <c r="C103" s="7"/>
      <c r="D103" s="7"/>
      <c r="E103" s="8"/>
      <c r="F103" s="7"/>
      <c r="G103" s="9" t="str">
        <f aca="true">IF(B103="","",IF(F103="完了","✓ 完了",IF(E103="","⚠ 期限未設定",IF(E103&lt;TODAY(),"🔴 超過",IF(E103=TODAY(),"🟡 今日","")))))</f>
        <v/>
      </c>
      <c r="H103" s="6"/>
      <c r="I103" s="6"/>
      <c r="J103" s="8"/>
      <c r="K103" s="8"/>
    </row>
    <row r="104" customFormat="false" ht="15" hidden="false" customHeight="false" outlineLevel="0" collapsed="false">
      <c r="A104" s="5" t="str">
        <f aca="false">IF(B104="","",ROW()-3)</f>
        <v/>
      </c>
      <c r="B104" s="6"/>
      <c r="C104" s="7"/>
      <c r="D104" s="7"/>
      <c r="E104" s="8"/>
      <c r="F104" s="7"/>
      <c r="G104" s="9" t="str">
        <f aca="true">IF(B104="","",IF(F104="完了","✓ 完了",IF(E104="","⚠ 期限未設定",IF(E104&lt;TODAY(),"🔴 超過",IF(E104=TODAY(),"🟡 今日","")))))</f>
        <v/>
      </c>
      <c r="H104" s="6"/>
      <c r="I104" s="6"/>
      <c r="J104" s="8"/>
      <c r="K104" s="8"/>
    </row>
    <row r="105" customFormat="false" ht="15" hidden="false" customHeight="false" outlineLevel="0" collapsed="false">
      <c r="A105" s="5" t="str">
        <f aca="false">IF(B105="","",ROW()-3)</f>
        <v/>
      </c>
      <c r="B105" s="6"/>
      <c r="C105" s="7"/>
      <c r="D105" s="7"/>
      <c r="E105" s="8"/>
      <c r="F105" s="7"/>
      <c r="G105" s="9" t="str">
        <f aca="true">IF(B105="","",IF(F105="完了","✓ 完了",IF(E105="","⚠ 期限未設定",IF(E105&lt;TODAY(),"🔴 超過",IF(E105=TODAY(),"🟡 今日","")))))</f>
        <v/>
      </c>
      <c r="H105" s="6"/>
      <c r="I105" s="6"/>
      <c r="J105" s="8"/>
      <c r="K105" s="8"/>
    </row>
    <row r="106" customFormat="false" ht="15" hidden="false" customHeight="false" outlineLevel="0" collapsed="false">
      <c r="A106" s="5" t="str">
        <f aca="false">IF(B106="","",ROW()-3)</f>
        <v/>
      </c>
      <c r="B106" s="6"/>
      <c r="C106" s="7"/>
      <c r="D106" s="7"/>
      <c r="E106" s="8"/>
      <c r="F106" s="7"/>
      <c r="G106" s="9" t="str">
        <f aca="true">IF(B106="","",IF(F106="完了","✓ 完了",IF(E106="","⚠ 期限未設定",IF(E106&lt;TODAY(),"🔴 超過",IF(E106=TODAY(),"🟡 今日","")))))</f>
        <v/>
      </c>
      <c r="H106" s="6"/>
      <c r="I106" s="6"/>
      <c r="J106" s="8"/>
      <c r="K106" s="8"/>
    </row>
    <row r="107" customFormat="false" ht="15" hidden="false" customHeight="false" outlineLevel="0" collapsed="false">
      <c r="A107" s="5" t="str">
        <f aca="false">IF(B107="","",ROW()-3)</f>
        <v/>
      </c>
      <c r="B107" s="6"/>
      <c r="C107" s="7"/>
      <c r="D107" s="7"/>
      <c r="E107" s="8"/>
      <c r="F107" s="7"/>
      <c r="G107" s="9" t="str">
        <f aca="true">IF(B107="","",IF(F107="完了","✓ 完了",IF(E107="","⚠ 期限未設定",IF(E107&lt;TODAY(),"🔴 超過",IF(E107=TODAY(),"🟡 今日","")))))</f>
        <v/>
      </c>
      <c r="H107" s="6"/>
      <c r="I107" s="6"/>
      <c r="J107" s="8"/>
      <c r="K107" s="8"/>
    </row>
    <row r="108" customFormat="false" ht="15" hidden="false" customHeight="false" outlineLevel="0" collapsed="false">
      <c r="A108" s="5" t="str">
        <f aca="false">IF(B108="","",ROW()-3)</f>
        <v/>
      </c>
      <c r="B108" s="6"/>
      <c r="C108" s="7"/>
      <c r="D108" s="7"/>
      <c r="E108" s="8"/>
      <c r="F108" s="7"/>
      <c r="G108" s="9" t="str">
        <f aca="true">IF(B108="","",IF(F108="完了","✓ 完了",IF(E108="","⚠ 期限未設定",IF(E108&lt;TODAY(),"🔴 超過",IF(E108=TODAY(),"🟡 今日","")))))</f>
        <v/>
      </c>
      <c r="H108" s="6"/>
      <c r="I108" s="6"/>
      <c r="J108" s="8"/>
      <c r="K108" s="8"/>
    </row>
    <row r="109" customFormat="false" ht="15" hidden="false" customHeight="false" outlineLevel="0" collapsed="false">
      <c r="A109" s="5" t="str">
        <f aca="false">IF(B109="","",ROW()-3)</f>
        <v/>
      </c>
      <c r="B109" s="6"/>
      <c r="C109" s="7"/>
      <c r="D109" s="7"/>
      <c r="E109" s="8"/>
      <c r="F109" s="7"/>
      <c r="G109" s="9" t="str">
        <f aca="true">IF(B109="","",IF(F109="完了","✓ 完了",IF(E109="","⚠ 期限未設定",IF(E109&lt;TODAY(),"🔴 超過",IF(E109=TODAY(),"🟡 今日","")))))</f>
        <v/>
      </c>
      <c r="H109" s="6"/>
      <c r="I109" s="6"/>
      <c r="J109" s="8"/>
      <c r="K109" s="8"/>
    </row>
    <row r="110" customFormat="false" ht="15" hidden="false" customHeight="false" outlineLevel="0" collapsed="false">
      <c r="A110" s="5" t="str">
        <f aca="false">IF(B110="","",ROW()-3)</f>
        <v/>
      </c>
      <c r="B110" s="6"/>
      <c r="C110" s="7"/>
      <c r="D110" s="7"/>
      <c r="E110" s="8"/>
      <c r="F110" s="7"/>
      <c r="G110" s="9" t="str">
        <f aca="true">IF(B110="","",IF(F110="完了","✓ 完了",IF(E110="","⚠ 期限未設定",IF(E110&lt;TODAY(),"🔴 超過",IF(E110=TODAY(),"🟡 今日","")))))</f>
        <v/>
      </c>
      <c r="H110" s="6"/>
      <c r="I110" s="6"/>
      <c r="J110" s="8"/>
      <c r="K110" s="8"/>
    </row>
    <row r="111" customFormat="false" ht="15" hidden="false" customHeight="false" outlineLevel="0" collapsed="false">
      <c r="A111" s="5" t="str">
        <f aca="false">IF(B111="","",ROW()-3)</f>
        <v/>
      </c>
      <c r="B111" s="6"/>
      <c r="C111" s="7"/>
      <c r="D111" s="7"/>
      <c r="E111" s="8"/>
      <c r="F111" s="7"/>
      <c r="G111" s="9" t="str">
        <f aca="true">IF(B111="","",IF(F111="完了","✓ 完了",IF(E111="","⚠ 期限未設定",IF(E111&lt;TODAY(),"🔴 超過",IF(E111=TODAY(),"🟡 今日","")))))</f>
        <v/>
      </c>
      <c r="H111" s="6"/>
      <c r="I111" s="6"/>
      <c r="J111" s="8"/>
      <c r="K111" s="8"/>
    </row>
    <row r="112" customFormat="false" ht="15" hidden="false" customHeight="false" outlineLevel="0" collapsed="false">
      <c r="A112" s="5" t="str">
        <f aca="false">IF(B112="","",ROW()-3)</f>
        <v/>
      </c>
      <c r="B112" s="6"/>
      <c r="C112" s="7"/>
      <c r="D112" s="7"/>
      <c r="E112" s="8"/>
      <c r="F112" s="7"/>
      <c r="G112" s="9" t="str">
        <f aca="true">IF(B112="","",IF(F112="完了","✓ 完了",IF(E112="","⚠ 期限未設定",IF(E112&lt;TODAY(),"🔴 超過",IF(E112=TODAY(),"🟡 今日","")))))</f>
        <v/>
      </c>
      <c r="H112" s="6"/>
      <c r="I112" s="6"/>
      <c r="J112" s="8"/>
      <c r="K112" s="8"/>
    </row>
    <row r="113" customFormat="false" ht="15" hidden="false" customHeight="false" outlineLevel="0" collapsed="false">
      <c r="A113" s="5" t="str">
        <f aca="false">IF(B113="","",ROW()-3)</f>
        <v/>
      </c>
      <c r="B113" s="6"/>
      <c r="C113" s="7"/>
      <c r="D113" s="7"/>
      <c r="E113" s="8"/>
      <c r="F113" s="7"/>
      <c r="G113" s="9" t="str">
        <f aca="true">IF(B113="","",IF(F113="完了","✓ 完了",IF(E113="","⚠ 期限未設定",IF(E113&lt;TODAY(),"🔴 超過",IF(E113=TODAY(),"🟡 今日","")))))</f>
        <v/>
      </c>
      <c r="H113" s="6"/>
      <c r="I113" s="6"/>
      <c r="J113" s="8"/>
      <c r="K113" s="8"/>
    </row>
    <row r="114" customFormat="false" ht="15" hidden="false" customHeight="false" outlineLevel="0" collapsed="false">
      <c r="A114" s="5" t="str">
        <f aca="false">IF(B114="","",ROW()-3)</f>
        <v/>
      </c>
      <c r="B114" s="6"/>
      <c r="C114" s="7"/>
      <c r="D114" s="7"/>
      <c r="E114" s="8"/>
      <c r="F114" s="7"/>
      <c r="G114" s="9" t="str">
        <f aca="true">IF(B114="","",IF(F114="完了","✓ 完了",IF(E114="","⚠ 期限未設定",IF(E114&lt;TODAY(),"🔴 超過",IF(E114=TODAY(),"🟡 今日","")))))</f>
        <v/>
      </c>
      <c r="H114" s="6"/>
      <c r="I114" s="6"/>
      <c r="J114" s="8"/>
      <c r="K114" s="8"/>
    </row>
    <row r="115" customFormat="false" ht="15" hidden="false" customHeight="false" outlineLevel="0" collapsed="false">
      <c r="A115" s="5" t="str">
        <f aca="false">IF(B115="","",ROW()-3)</f>
        <v/>
      </c>
      <c r="B115" s="6"/>
      <c r="C115" s="7"/>
      <c r="D115" s="7"/>
      <c r="E115" s="8"/>
      <c r="F115" s="7"/>
      <c r="G115" s="9" t="str">
        <f aca="true">IF(B115="","",IF(F115="完了","✓ 完了",IF(E115="","⚠ 期限未設定",IF(E115&lt;TODAY(),"🔴 超過",IF(E115=TODAY(),"🟡 今日","")))))</f>
        <v/>
      </c>
      <c r="H115" s="6"/>
      <c r="I115" s="6"/>
      <c r="J115" s="8"/>
      <c r="K115" s="8"/>
    </row>
    <row r="116" customFormat="false" ht="15" hidden="false" customHeight="false" outlineLevel="0" collapsed="false">
      <c r="A116" s="5" t="str">
        <f aca="false">IF(B116="","",ROW()-3)</f>
        <v/>
      </c>
      <c r="B116" s="6"/>
      <c r="C116" s="7"/>
      <c r="D116" s="7"/>
      <c r="E116" s="8"/>
      <c r="F116" s="7"/>
      <c r="G116" s="9" t="str">
        <f aca="true">IF(B116="","",IF(F116="完了","✓ 完了",IF(E116="","⚠ 期限未設定",IF(E116&lt;TODAY(),"🔴 超過",IF(E116=TODAY(),"🟡 今日","")))))</f>
        <v/>
      </c>
      <c r="H116" s="6"/>
      <c r="I116" s="6"/>
      <c r="J116" s="8"/>
      <c r="K116" s="8"/>
    </row>
    <row r="117" customFormat="false" ht="15" hidden="false" customHeight="false" outlineLevel="0" collapsed="false">
      <c r="A117" s="5" t="str">
        <f aca="false">IF(B117="","",ROW()-3)</f>
        <v/>
      </c>
      <c r="B117" s="6"/>
      <c r="C117" s="7"/>
      <c r="D117" s="7"/>
      <c r="E117" s="8"/>
      <c r="F117" s="7"/>
      <c r="G117" s="9" t="str">
        <f aca="true">IF(B117="","",IF(F117="完了","✓ 完了",IF(E117="","⚠ 期限未設定",IF(E117&lt;TODAY(),"🔴 超過",IF(E117=TODAY(),"🟡 今日","")))))</f>
        <v/>
      </c>
      <c r="H117" s="6"/>
      <c r="I117" s="6"/>
      <c r="J117" s="8"/>
      <c r="K117" s="8"/>
    </row>
    <row r="118" customFormat="false" ht="15" hidden="false" customHeight="false" outlineLevel="0" collapsed="false">
      <c r="A118" s="5" t="str">
        <f aca="false">IF(B118="","",ROW()-3)</f>
        <v/>
      </c>
      <c r="B118" s="6"/>
      <c r="C118" s="7"/>
      <c r="D118" s="7"/>
      <c r="E118" s="8"/>
      <c r="F118" s="7"/>
      <c r="G118" s="9" t="str">
        <f aca="true">IF(B118="","",IF(F118="完了","✓ 完了",IF(E118="","⚠ 期限未設定",IF(E118&lt;TODAY(),"🔴 超過",IF(E118=TODAY(),"🟡 今日","")))))</f>
        <v/>
      </c>
      <c r="H118" s="6"/>
      <c r="I118" s="6"/>
      <c r="J118" s="8"/>
      <c r="K118" s="8"/>
    </row>
    <row r="119" customFormat="false" ht="15" hidden="false" customHeight="false" outlineLevel="0" collapsed="false">
      <c r="A119" s="5" t="str">
        <f aca="false">IF(B119="","",ROW()-3)</f>
        <v/>
      </c>
      <c r="B119" s="6"/>
      <c r="C119" s="7"/>
      <c r="D119" s="7"/>
      <c r="E119" s="8"/>
      <c r="F119" s="7"/>
      <c r="G119" s="9" t="str">
        <f aca="true">IF(B119="","",IF(F119="完了","✓ 完了",IF(E119="","⚠ 期限未設定",IF(E119&lt;TODAY(),"🔴 超過",IF(E119=TODAY(),"🟡 今日","")))))</f>
        <v/>
      </c>
      <c r="H119" s="6"/>
      <c r="I119" s="6"/>
      <c r="J119" s="8"/>
      <c r="K119" s="8"/>
    </row>
    <row r="120" customFormat="false" ht="15" hidden="false" customHeight="false" outlineLevel="0" collapsed="false">
      <c r="A120" s="5" t="str">
        <f aca="false">IF(B120="","",ROW()-3)</f>
        <v/>
      </c>
      <c r="B120" s="6"/>
      <c r="C120" s="7"/>
      <c r="D120" s="7"/>
      <c r="E120" s="8"/>
      <c r="F120" s="7"/>
      <c r="G120" s="9" t="str">
        <f aca="true">IF(B120="","",IF(F120="完了","✓ 完了",IF(E120="","⚠ 期限未設定",IF(E120&lt;TODAY(),"🔴 超過",IF(E120=TODAY(),"🟡 今日","")))))</f>
        <v/>
      </c>
      <c r="H120" s="6"/>
      <c r="I120" s="6"/>
      <c r="J120" s="8"/>
      <c r="K120" s="8"/>
    </row>
    <row r="121" customFormat="false" ht="15" hidden="false" customHeight="false" outlineLevel="0" collapsed="false">
      <c r="A121" s="5" t="str">
        <f aca="false">IF(B121="","",ROW()-3)</f>
        <v/>
      </c>
      <c r="B121" s="6"/>
      <c r="C121" s="7"/>
      <c r="D121" s="7"/>
      <c r="E121" s="8"/>
      <c r="F121" s="7"/>
      <c r="G121" s="9" t="str">
        <f aca="true">IF(B121="","",IF(F121="完了","✓ 完了",IF(E121="","⚠ 期限未設定",IF(E121&lt;TODAY(),"🔴 超過",IF(E121=TODAY(),"🟡 今日","")))))</f>
        <v/>
      </c>
      <c r="H121" s="6"/>
      <c r="I121" s="6"/>
      <c r="J121" s="8"/>
      <c r="K121" s="8"/>
    </row>
    <row r="122" customFormat="false" ht="15" hidden="false" customHeight="false" outlineLevel="0" collapsed="false">
      <c r="A122" s="5" t="str">
        <f aca="false">IF(B122="","",ROW()-3)</f>
        <v/>
      </c>
      <c r="B122" s="6"/>
      <c r="C122" s="7"/>
      <c r="D122" s="7"/>
      <c r="E122" s="8"/>
      <c r="F122" s="7"/>
      <c r="G122" s="9" t="str">
        <f aca="true">IF(B122="","",IF(F122="完了","✓ 完了",IF(E122="","⚠ 期限未設定",IF(E122&lt;TODAY(),"🔴 超過",IF(E122=TODAY(),"🟡 今日","")))))</f>
        <v/>
      </c>
      <c r="H122" s="6"/>
      <c r="I122" s="6"/>
      <c r="J122" s="8"/>
      <c r="K122" s="8"/>
    </row>
    <row r="123" customFormat="false" ht="15" hidden="false" customHeight="false" outlineLevel="0" collapsed="false">
      <c r="A123" s="5" t="str">
        <f aca="false">IF(B123="","",ROW()-3)</f>
        <v/>
      </c>
      <c r="B123" s="6"/>
      <c r="C123" s="7"/>
      <c r="D123" s="7"/>
      <c r="E123" s="8"/>
      <c r="F123" s="7"/>
      <c r="G123" s="9" t="str">
        <f aca="true">IF(B123="","",IF(F123="完了","✓ 完了",IF(E123="","⚠ 期限未設定",IF(E123&lt;TODAY(),"🔴 超過",IF(E123=TODAY(),"🟡 今日","")))))</f>
        <v/>
      </c>
      <c r="H123" s="6"/>
      <c r="I123" s="6"/>
      <c r="J123" s="8"/>
      <c r="K123" s="8"/>
    </row>
    <row r="124" customFormat="false" ht="15" hidden="false" customHeight="false" outlineLevel="0" collapsed="false">
      <c r="A124" s="5" t="str">
        <f aca="false">IF(B124="","",ROW()-3)</f>
        <v/>
      </c>
      <c r="B124" s="6"/>
      <c r="C124" s="7"/>
      <c r="D124" s="7"/>
      <c r="E124" s="8"/>
      <c r="F124" s="7"/>
      <c r="G124" s="9" t="str">
        <f aca="true">IF(B124="","",IF(F124="完了","✓ 完了",IF(E124="","⚠ 期限未設定",IF(E124&lt;TODAY(),"🔴 超過",IF(E124=TODAY(),"🟡 今日","")))))</f>
        <v/>
      </c>
      <c r="H124" s="6"/>
      <c r="I124" s="6"/>
      <c r="J124" s="8"/>
      <c r="K124" s="8"/>
    </row>
    <row r="125" customFormat="false" ht="15" hidden="false" customHeight="false" outlineLevel="0" collapsed="false">
      <c r="A125" s="5" t="str">
        <f aca="false">IF(B125="","",ROW()-3)</f>
        <v/>
      </c>
      <c r="B125" s="6"/>
      <c r="C125" s="7"/>
      <c r="D125" s="7"/>
      <c r="E125" s="8"/>
      <c r="F125" s="7"/>
      <c r="G125" s="9" t="str">
        <f aca="true">IF(B125="","",IF(F125="完了","✓ 完了",IF(E125="","⚠ 期限未設定",IF(E125&lt;TODAY(),"🔴 超過",IF(E125=TODAY(),"🟡 今日","")))))</f>
        <v/>
      </c>
      <c r="H125" s="6"/>
      <c r="I125" s="6"/>
      <c r="J125" s="8"/>
      <c r="K125" s="8"/>
    </row>
    <row r="126" customFormat="false" ht="15" hidden="false" customHeight="false" outlineLevel="0" collapsed="false">
      <c r="A126" s="5" t="str">
        <f aca="false">IF(B126="","",ROW()-3)</f>
        <v/>
      </c>
      <c r="B126" s="6"/>
      <c r="C126" s="7"/>
      <c r="D126" s="7"/>
      <c r="E126" s="8"/>
      <c r="F126" s="7"/>
      <c r="G126" s="9" t="str">
        <f aca="true">IF(B126="","",IF(F126="完了","✓ 完了",IF(E126="","⚠ 期限未設定",IF(E126&lt;TODAY(),"🔴 超過",IF(E126=TODAY(),"🟡 今日","")))))</f>
        <v/>
      </c>
      <c r="H126" s="6"/>
      <c r="I126" s="6"/>
      <c r="J126" s="8"/>
      <c r="K126" s="8"/>
    </row>
    <row r="127" customFormat="false" ht="15" hidden="false" customHeight="false" outlineLevel="0" collapsed="false">
      <c r="A127" s="5" t="str">
        <f aca="false">IF(B127="","",ROW()-3)</f>
        <v/>
      </c>
      <c r="B127" s="6"/>
      <c r="C127" s="7"/>
      <c r="D127" s="7"/>
      <c r="E127" s="8"/>
      <c r="F127" s="7"/>
      <c r="G127" s="9" t="str">
        <f aca="true">IF(B127="","",IF(F127="完了","✓ 完了",IF(E127="","⚠ 期限未設定",IF(E127&lt;TODAY(),"🔴 超過",IF(E127=TODAY(),"🟡 今日","")))))</f>
        <v/>
      </c>
      <c r="H127" s="6"/>
      <c r="I127" s="6"/>
      <c r="J127" s="8"/>
      <c r="K127" s="8"/>
    </row>
    <row r="128" customFormat="false" ht="15" hidden="false" customHeight="false" outlineLevel="0" collapsed="false">
      <c r="A128" s="5" t="str">
        <f aca="false">IF(B128="","",ROW()-3)</f>
        <v/>
      </c>
      <c r="B128" s="6"/>
      <c r="C128" s="7"/>
      <c r="D128" s="7"/>
      <c r="E128" s="8"/>
      <c r="F128" s="7"/>
      <c r="G128" s="9" t="str">
        <f aca="true">IF(B128="","",IF(F128="完了","✓ 完了",IF(E128="","⚠ 期限未設定",IF(E128&lt;TODAY(),"🔴 超過",IF(E128=TODAY(),"🟡 今日","")))))</f>
        <v/>
      </c>
      <c r="H128" s="6"/>
      <c r="I128" s="6"/>
      <c r="J128" s="8"/>
      <c r="K128" s="8"/>
    </row>
    <row r="129" customFormat="false" ht="15" hidden="false" customHeight="false" outlineLevel="0" collapsed="false">
      <c r="A129" s="5" t="str">
        <f aca="false">IF(B129="","",ROW()-3)</f>
        <v/>
      </c>
      <c r="B129" s="6"/>
      <c r="C129" s="7"/>
      <c r="D129" s="7"/>
      <c r="E129" s="8"/>
      <c r="F129" s="7"/>
      <c r="G129" s="9" t="str">
        <f aca="true">IF(B129="","",IF(F129="完了","✓ 完了",IF(E129="","⚠ 期限未設定",IF(E129&lt;TODAY(),"🔴 超過",IF(E129=TODAY(),"🟡 今日","")))))</f>
        <v/>
      </c>
      <c r="H129" s="6"/>
      <c r="I129" s="6"/>
      <c r="J129" s="8"/>
      <c r="K129" s="8"/>
    </row>
    <row r="130" customFormat="false" ht="15" hidden="false" customHeight="false" outlineLevel="0" collapsed="false">
      <c r="A130" s="5" t="str">
        <f aca="false">IF(B130="","",ROW()-3)</f>
        <v/>
      </c>
      <c r="B130" s="6"/>
      <c r="C130" s="7"/>
      <c r="D130" s="7"/>
      <c r="E130" s="8"/>
      <c r="F130" s="7"/>
      <c r="G130" s="9" t="str">
        <f aca="true">IF(B130="","",IF(F130="完了","✓ 完了",IF(E130="","⚠ 期限未設定",IF(E130&lt;TODAY(),"🔴 超過",IF(E130=TODAY(),"🟡 今日","")))))</f>
        <v/>
      </c>
      <c r="H130" s="6"/>
      <c r="I130" s="6"/>
      <c r="J130" s="8"/>
      <c r="K130" s="8"/>
    </row>
    <row r="131" customFormat="false" ht="15" hidden="false" customHeight="false" outlineLevel="0" collapsed="false">
      <c r="A131" s="5" t="str">
        <f aca="false">IF(B131="","",ROW()-3)</f>
        <v/>
      </c>
      <c r="B131" s="6"/>
      <c r="C131" s="7"/>
      <c r="D131" s="7"/>
      <c r="E131" s="8"/>
      <c r="F131" s="7"/>
      <c r="G131" s="9" t="str">
        <f aca="true">IF(B131="","",IF(F131="完了","✓ 完了",IF(E131="","⚠ 期限未設定",IF(E131&lt;TODAY(),"🔴 超過",IF(E131=TODAY(),"🟡 今日","")))))</f>
        <v/>
      </c>
      <c r="H131" s="6"/>
      <c r="I131" s="6"/>
      <c r="J131" s="8"/>
      <c r="K131" s="8"/>
    </row>
    <row r="132" customFormat="false" ht="15" hidden="false" customHeight="false" outlineLevel="0" collapsed="false">
      <c r="A132" s="5" t="str">
        <f aca="false">IF(B132="","",ROW()-3)</f>
        <v/>
      </c>
      <c r="B132" s="6"/>
      <c r="C132" s="7"/>
      <c r="D132" s="7"/>
      <c r="E132" s="8"/>
      <c r="F132" s="7"/>
      <c r="G132" s="9" t="str">
        <f aca="true">IF(B132="","",IF(F132="完了","✓ 完了",IF(E132="","⚠ 期限未設定",IF(E132&lt;TODAY(),"🔴 超過",IF(E132=TODAY(),"🟡 今日","")))))</f>
        <v/>
      </c>
      <c r="H132" s="6"/>
      <c r="I132" s="6"/>
      <c r="J132" s="8"/>
      <c r="K132" s="8"/>
    </row>
    <row r="133" customFormat="false" ht="15" hidden="false" customHeight="false" outlineLevel="0" collapsed="false">
      <c r="A133" s="5" t="str">
        <f aca="false">IF(B133="","",ROW()-3)</f>
        <v/>
      </c>
      <c r="B133" s="6"/>
      <c r="C133" s="7"/>
      <c r="D133" s="7"/>
      <c r="E133" s="8"/>
      <c r="F133" s="7"/>
      <c r="G133" s="9" t="str">
        <f aca="true">IF(B133="","",IF(F133="完了","✓ 完了",IF(E133="","⚠ 期限未設定",IF(E133&lt;TODAY(),"🔴 超過",IF(E133=TODAY(),"🟡 今日","")))))</f>
        <v/>
      </c>
      <c r="H133" s="6"/>
      <c r="I133" s="6"/>
      <c r="J133" s="8"/>
      <c r="K133" s="8"/>
    </row>
    <row r="134" customFormat="false" ht="15" hidden="false" customHeight="false" outlineLevel="0" collapsed="false">
      <c r="A134" s="5" t="str">
        <f aca="false">IF(B134="","",ROW()-3)</f>
        <v/>
      </c>
      <c r="B134" s="6"/>
      <c r="C134" s="7"/>
      <c r="D134" s="7"/>
      <c r="E134" s="8"/>
      <c r="F134" s="7"/>
      <c r="G134" s="9" t="str">
        <f aca="true">IF(B134="","",IF(F134="完了","✓ 完了",IF(E134="","⚠ 期限未設定",IF(E134&lt;TODAY(),"🔴 超過",IF(E134=TODAY(),"🟡 今日","")))))</f>
        <v/>
      </c>
      <c r="H134" s="6"/>
      <c r="I134" s="6"/>
      <c r="J134" s="8"/>
      <c r="K134" s="8"/>
    </row>
    <row r="135" customFormat="false" ht="15" hidden="false" customHeight="false" outlineLevel="0" collapsed="false">
      <c r="A135" s="5" t="str">
        <f aca="false">IF(B135="","",ROW()-3)</f>
        <v/>
      </c>
      <c r="B135" s="6"/>
      <c r="C135" s="7"/>
      <c r="D135" s="7"/>
      <c r="E135" s="8"/>
      <c r="F135" s="7"/>
      <c r="G135" s="9" t="str">
        <f aca="true">IF(B135="","",IF(F135="完了","✓ 完了",IF(E135="","⚠ 期限未設定",IF(E135&lt;TODAY(),"🔴 超過",IF(E135=TODAY(),"🟡 今日","")))))</f>
        <v/>
      </c>
      <c r="H135" s="6"/>
      <c r="I135" s="6"/>
      <c r="J135" s="8"/>
      <c r="K135" s="8"/>
    </row>
    <row r="136" customFormat="false" ht="15" hidden="false" customHeight="false" outlineLevel="0" collapsed="false">
      <c r="A136" s="5" t="str">
        <f aca="false">IF(B136="","",ROW()-3)</f>
        <v/>
      </c>
      <c r="B136" s="6"/>
      <c r="C136" s="7"/>
      <c r="D136" s="7"/>
      <c r="E136" s="8"/>
      <c r="F136" s="7"/>
      <c r="G136" s="9" t="str">
        <f aca="true">IF(B136="","",IF(F136="完了","✓ 完了",IF(E136="","⚠ 期限未設定",IF(E136&lt;TODAY(),"🔴 超過",IF(E136=TODAY(),"🟡 今日","")))))</f>
        <v/>
      </c>
      <c r="H136" s="6"/>
      <c r="I136" s="6"/>
      <c r="J136" s="8"/>
      <c r="K136" s="8"/>
    </row>
    <row r="137" customFormat="false" ht="15" hidden="false" customHeight="false" outlineLevel="0" collapsed="false">
      <c r="A137" s="5" t="str">
        <f aca="false">IF(B137="","",ROW()-3)</f>
        <v/>
      </c>
      <c r="B137" s="6"/>
      <c r="C137" s="7"/>
      <c r="D137" s="7"/>
      <c r="E137" s="8"/>
      <c r="F137" s="7"/>
      <c r="G137" s="9" t="str">
        <f aca="true">IF(B137="","",IF(F137="完了","✓ 完了",IF(E137="","⚠ 期限未設定",IF(E137&lt;TODAY(),"🔴 超過",IF(E137=TODAY(),"🟡 今日","")))))</f>
        <v/>
      </c>
      <c r="H137" s="6"/>
      <c r="I137" s="6"/>
      <c r="J137" s="8"/>
      <c r="K137" s="8"/>
    </row>
    <row r="138" customFormat="false" ht="15" hidden="false" customHeight="false" outlineLevel="0" collapsed="false">
      <c r="A138" s="5" t="str">
        <f aca="false">IF(B138="","",ROW()-3)</f>
        <v/>
      </c>
      <c r="B138" s="6"/>
      <c r="C138" s="7"/>
      <c r="D138" s="7"/>
      <c r="E138" s="8"/>
      <c r="F138" s="7"/>
      <c r="G138" s="9" t="str">
        <f aca="true">IF(B138="","",IF(F138="完了","✓ 完了",IF(E138="","⚠ 期限未設定",IF(E138&lt;TODAY(),"🔴 超過",IF(E138=TODAY(),"🟡 今日","")))))</f>
        <v/>
      </c>
      <c r="H138" s="6"/>
      <c r="I138" s="6"/>
      <c r="J138" s="8"/>
      <c r="K138" s="8"/>
    </row>
    <row r="139" customFormat="false" ht="15" hidden="false" customHeight="false" outlineLevel="0" collapsed="false">
      <c r="A139" s="5" t="str">
        <f aca="false">IF(B139="","",ROW()-3)</f>
        <v/>
      </c>
      <c r="B139" s="6"/>
      <c r="C139" s="7"/>
      <c r="D139" s="7"/>
      <c r="E139" s="8"/>
      <c r="F139" s="7"/>
      <c r="G139" s="9" t="str">
        <f aca="true">IF(B139="","",IF(F139="完了","✓ 完了",IF(E139="","⚠ 期限未設定",IF(E139&lt;TODAY(),"🔴 超過",IF(E139=TODAY(),"🟡 今日","")))))</f>
        <v/>
      </c>
      <c r="H139" s="6"/>
      <c r="I139" s="6"/>
      <c r="J139" s="8"/>
      <c r="K139" s="8"/>
    </row>
    <row r="140" customFormat="false" ht="15" hidden="false" customHeight="false" outlineLevel="0" collapsed="false">
      <c r="A140" s="5" t="str">
        <f aca="false">IF(B140="","",ROW()-3)</f>
        <v/>
      </c>
      <c r="B140" s="6"/>
      <c r="C140" s="7"/>
      <c r="D140" s="7"/>
      <c r="E140" s="8"/>
      <c r="F140" s="7"/>
      <c r="G140" s="9" t="str">
        <f aca="true">IF(B140="","",IF(F140="完了","✓ 完了",IF(E140="","⚠ 期限未設定",IF(E140&lt;TODAY(),"🔴 超過",IF(E140=TODAY(),"🟡 今日","")))))</f>
        <v/>
      </c>
      <c r="H140" s="6"/>
      <c r="I140" s="6"/>
      <c r="J140" s="8"/>
      <c r="K140" s="8"/>
    </row>
    <row r="141" customFormat="false" ht="15" hidden="false" customHeight="false" outlineLevel="0" collapsed="false">
      <c r="A141" s="5" t="str">
        <f aca="false">IF(B141="","",ROW()-3)</f>
        <v/>
      </c>
      <c r="B141" s="6"/>
      <c r="C141" s="7"/>
      <c r="D141" s="7"/>
      <c r="E141" s="8"/>
      <c r="F141" s="7"/>
      <c r="G141" s="9" t="str">
        <f aca="true">IF(B141="","",IF(F141="完了","✓ 完了",IF(E141="","⚠ 期限未設定",IF(E141&lt;TODAY(),"🔴 超過",IF(E141=TODAY(),"🟡 今日","")))))</f>
        <v/>
      </c>
      <c r="H141" s="6"/>
      <c r="I141" s="6"/>
      <c r="J141" s="8"/>
      <c r="K141" s="8"/>
    </row>
    <row r="142" customFormat="false" ht="15" hidden="false" customHeight="false" outlineLevel="0" collapsed="false">
      <c r="A142" s="5" t="str">
        <f aca="false">IF(B142="","",ROW()-3)</f>
        <v/>
      </c>
      <c r="B142" s="6"/>
      <c r="C142" s="7"/>
      <c r="D142" s="7"/>
      <c r="E142" s="8"/>
      <c r="F142" s="7"/>
      <c r="G142" s="9" t="str">
        <f aca="true">IF(B142="","",IF(F142="完了","✓ 完了",IF(E142="","⚠ 期限未設定",IF(E142&lt;TODAY(),"🔴 超過",IF(E142=TODAY(),"🟡 今日","")))))</f>
        <v/>
      </c>
      <c r="H142" s="6"/>
      <c r="I142" s="6"/>
      <c r="J142" s="8"/>
      <c r="K142" s="8"/>
    </row>
    <row r="143" customFormat="false" ht="15" hidden="false" customHeight="false" outlineLevel="0" collapsed="false">
      <c r="A143" s="5" t="str">
        <f aca="false">IF(B143="","",ROW()-3)</f>
        <v/>
      </c>
      <c r="B143" s="6"/>
      <c r="C143" s="7"/>
      <c r="D143" s="7"/>
      <c r="E143" s="8"/>
      <c r="F143" s="7"/>
      <c r="G143" s="9" t="str">
        <f aca="true">IF(B143="","",IF(F143="完了","✓ 完了",IF(E143="","⚠ 期限未設定",IF(E143&lt;TODAY(),"🔴 超過",IF(E143=TODAY(),"🟡 今日","")))))</f>
        <v/>
      </c>
      <c r="H143" s="6"/>
      <c r="I143" s="6"/>
      <c r="J143" s="8"/>
      <c r="K143" s="8"/>
    </row>
    <row r="144" customFormat="false" ht="15" hidden="false" customHeight="false" outlineLevel="0" collapsed="false">
      <c r="A144" s="5" t="str">
        <f aca="false">IF(B144="","",ROW()-3)</f>
        <v/>
      </c>
      <c r="B144" s="6"/>
      <c r="C144" s="7"/>
      <c r="D144" s="7"/>
      <c r="E144" s="8"/>
      <c r="F144" s="7"/>
      <c r="G144" s="9" t="str">
        <f aca="true">IF(B144="","",IF(F144="完了","✓ 完了",IF(E144="","⚠ 期限未設定",IF(E144&lt;TODAY(),"🔴 超過",IF(E144=TODAY(),"🟡 今日","")))))</f>
        <v/>
      </c>
      <c r="H144" s="6"/>
      <c r="I144" s="6"/>
      <c r="J144" s="8"/>
      <c r="K144" s="8"/>
    </row>
    <row r="145" customFormat="false" ht="15" hidden="false" customHeight="false" outlineLevel="0" collapsed="false">
      <c r="A145" s="5" t="str">
        <f aca="false">IF(B145="","",ROW()-3)</f>
        <v/>
      </c>
      <c r="B145" s="6"/>
      <c r="C145" s="7"/>
      <c r="D145" s="7"/>
      <c r="E145" s="8"/>
      <c r="F145" s="7"/>
      <c r="G145" s="9" t="str">
        <f aca="true">IF(B145="","",IF(F145="完了","✓ 完了",IF(E145="","⚠ 期限未設定",IF(E145&lt;TODAY(),"🔴 超過",IF(E145=TODAY(),"🟡 今日","")))))</f>
        <v/>
      </c>
      <c r="H145" s="6"/>
      <c r="I145" s="6"/>
      <c r="J145" s="8"/>
      <c r="K145" s="8"/>
    </row>
    <row r="146" customFormat="false" ht="15" hidden="false" customHeight="false" outlineLevel="0" collapsed="false">
      <c r="A146" s="5" t="str">
        <f aca="false">IF(B146="","",ROW()-3)</f>
        <v/>
      </c>
      <c r="B146" s="6"/>
      <c r="C146" s="7"/>
      <c r="D146" s="7"/>
      <c r="E146" s="8"/>
      <c r="F146" s="7"/>
      <c r="G146" s="9" t="str">
        <f aca="true">IF(B146="","",IF(F146="完了","✓ 完了",IF(E146="","⚠ 期限未設定",IF(E146&lt;TODAY(),"🔴 超過",IF(E146=TODAY(),"🟡 今日","")))))</f>
        <v/>
      </c>
      <c r="H146" s="6"/>
      <c r="I146" s="6"/>
      <c r="J146" s="8"/>
      <c r="K146" s="8"/>
    </row>
    <row r="147" customFormat="false" ht="15" hidden="false" customHeight="false" outlineLevel="0" collapsed="false">
      <c r="A147" s="5" t="str">
        <f aca="false">IF(B147="","",ROW()-3)</f>
        <v/>
      </c>
      <c r="B147" s="6"/>
      <c r="C147" s="7"/>
      <c r="D147" s="7"/>
      <c r="E147" s="8"/>
      <c r="F147" s="7"/>
      <c r="G147" s="9" t="str">
        <f aca="true">IF(B147="","",IF(F147="完了","✓ 完了",IF(E147="","⚠ 期限未設定",IF(E147&lt;TODAY(),"🔴 超過",IF(E147=TODAY(),"🟡 今日","")))))</f>
        <v/>
      </c>
      <c r="H147" s="6"/>
      <c r="I147" s="6"/>
      <c r="J147" s="8"/>
      <c r="K147" s="8"/>
    </row>
    <row r="148" customFormat="false" ht="15" hidden="false" customHeight="false" outlineLevel="0" collapsed="false">
      <c r="A148" s="5" t="str">
        <f aca="false">IF(B148="","",ROW()-3)</f>
        <v/>
      </c>
      <c r="B148" s="6"/>
      <c r="C148" s="7"/>
      <c r="D148" s="7"/>
      <c r="E148" s="8"/>
      <c r="F148" s="7"/>
      <c r="G148" s="9" t="str">
        <f aca="true">IF(B148="","",IF(F148="完了","✓ 完了",IF(E148="","⚠ 期限未設定",IF(E148&lt;TODAY(),"🔴 超過",IF(E148=TODAY(),"🟡 今日","")))))</f>
        <v/>
      </c>
      <c r="H148" s="6"/>
      <c r="I148" s="6"/>
      <c r="J148" s="8"/>
      <c r="K148" s="8"/>
    </row>
    <row r="149" customFormat="false" ht="15" hidden="false" customHeight="false" outlineLevel="0" collapsed="false">
      <c r="A149" s="5" t="str">
        <f aca="false">IF(B149="","",ROW()-3)</f>
        <v/>
      </c>
      <c r="B149" s="6"/>
      <c r="C149" s="7"/>
      <c r="D149" s="7"/>
      <c r="E149" s="8"/>
      <c r="F149" s="7"/>
      <c r="G149" s="9" t="str">
        <f aca="true">IF(B149="","",IF(F149="完了","✓ 完了",IF(E149="","⚠ 期限未設定",IF(E149&lt;TODAY(),"🔴 超過",IF(E149=TODAY(),"🟡 今日","")))))</f>
        <v/>
      </c>
      <c r="H149" s="6"/>
      <c r="I149" s="6"/>
      <c r="J149" s="8"/>
      <c r="K149" s="8"/>
    </row>
    <row r="150" customFormat="false" ht="15" hidden="false" customHeight="false" outlineLevel="0" collapsed="false">
      <c r="A150" s="5" t="str">
        <f aca="false">IF(B150="","",ROW()-3)</f>
        <v/>
      </c>
      <c r="B150" s="6"/>
      <c r="C150" s="7"/>
      <c r="D150" s="7"/>
      <c r="E150" s="8"/>
      <c r="F150" s="7"/>
      <c r="G150" s="9" t="str">
        <f aca="true">IF(B150="","",IF(F150="完了","✓ 完了",IF(E150="","⚠ 期限未設定",IF(E150&lt;TODAY(),"🔴 超過",IF(E150=TODAY(),"🟡 今日","")))))</f>
        <v/>
      </c>
      <c r="H150" s="6"/>
      <c r="I150" s="6"/>
      <c r="J150" s="8"/>
      <c r="K150" s="8"/>
    </row>
    <row r="151" customFormat="false" ht="15" hidden="false" customHeight="false" outlineLevel="0" collapsed="false">
      <c r="A151" s="5" t="str">
        <f aca="false">IF(B151="","",ROW()-3)</f>
        <v/>
      </c>
      <c r="B151" s="6"/>
      <c r="C151" s="7"/>
      <c r="D151" s="7"/>
      <c r="E151" s="8"/>
      <c r="F151" s="7"/>
      <c r="G151" s="9" t="str">
        <f aca="true">IF(B151="","",IF(F151="完了","✓ 完了",IF(E151="","⚠ 期限未設定",IF(E151&lt;TODAY(),"🔴 超過",IF(E151=TODAY(),"🟡 今日","")))))</f>
        <v/>
      </c>
      <c r="H151" s="6"/>
      <c r="I151" s="6"/>
      <c r="J151" s="8"/>
      <c r="K151" s="8"/>
    </row>
    <row r="152" customFormat="false" ht="15" hidden="false" customHeight="false" outlineLevel="0" collapsed="false">
      <c r="A152" s="5" t="str">
        <f aca="false">IF(B152="","",ROW()-3)</f>
        <v/>
      </c>
      <c r="B152" s="6"/>
      <c r="C152" s="7"/>
      <c r="D152" s="7"/>
      <c r="E152" s="8"/>
      <c r="F152" s="7"/>
      <c r="G152" s="9" t="str">
        <f aca="true">IF(B152="","",IF(F152="完了","✓ 完了",IF(E152="","⚠ 期限未設定",IF(E152&lt;TODAY(),"🔴 超過",IF(E152=TODAY(),"🟡 今日","")))))</f>
        <v/>
      </c>
      <c r="H152" s="6"/>
      <c r="I152" s="6"/>
      <c r="J152" s="8"/>
      <c r="K152" s="8"/>
    </row>
    <row r="153" customFormat="false" ht="15" hidden="false" customHeight="false" outlineLevel="0" collapsed="false">
      <c r="A153" s="5" t="str">
        <f aca="false">IF(B153="","",ROW()-3)</f>
        <v/>
      </c>
      <c r="B153" s="6"/>
      <c r="C153" s="7"/>
      <c r="D153" s="7"/>
      <c r="E153" s="8"/>
      <c r="F153" s="7"/>
      <c r="G153" s="9" t="str">
        <f aca="true">IF(B153="","",IF(F153="完了","✓ 完了",IF(E153="","⚠ 期限未設定",IF(E153&lt;TODAY(),"🔴 超過",IF(E153=TODAY(),"🟡 今日","")))))</f>
        <v/>
      </c>
      <c r="H153" s="6"/>
      <c r="I153" s="6"/>
      <c r="J153" s="8"/>
      <c r="K153" s="8"/>
    </row>
    <row r="154" customFormat="false" ht="15" hidden="false" customHeight="false" outlineLevel="0" collapsed="false">
      <c r="A154" s="5" t="str">
        <f aca="false">IF(B154="","",ROW()-3)</f>
        <v/>
      </c>
      <c r="B154" s="6"/>
      <c r="C154" s="7"/>
      <c r="D154" s="7"/>
      <c r="E154" s="8"/>
      <c r="F154" s="7"/>
      <c r="G154" s="9" t="str">
        <f aca="true">IF(B154="","",IF(F154="完了","✓ 完了",IF(E154="","⚠ 期限未設定",IF(E154&lt;TODAY(),"🔴 超過",IF(E154=TODAY(),"🟡 今日","")))))</f>
        <v/>
      </c>
      <c r="H154" s="6"/>
      <c r="I154" s="6"/>
      <c r="J154" s="8"/>
      <c r="K154" s="8"/>
    </row>
    <row r="155" customFormat="false" ht="15" hidden="false" customHeight="false" outlineLevel="0" collapsed="false">
      <c r="A155" s="5" t="str">
        <f aca="false">IF(B155="","",ROW()-3)</f>
        <v/>
      </c>
      <c r="B155" s="6"/>
      <c r="C155" s="7"/>
      <c r="D155" s="7"/>
      <c r="E155" s="8"/>
      <c r="F155" s="7"/>
      <c r="G155" s="9" t="str">
        <f aca="true">IF(B155="","",IF(F155="完了","✓ 完了",IF(E155="","⚠ 期限未設定",IF(E155&lt;TODAY(),"🔴 超過",IF(E155=TODAY(),"🟡 今日","")))))</f>
        <v/>
      </c>
      <c r="H155" s="6"/>
      <c r="I155" s="6"/>
      <c r="J155" s="8"/>
      <c r="K155" s="8"/>
    </row>
    <row r="156" customFormat="false" ht="15" hidden="false" customHeight="false" outlineLevel="0" collapsed="false">
      <c r="A156" s="5" t="str">
        <f aca="false">IF(B156="","",ROW()-3)</f>
        <v/>
      </c>
      <c r="B156" s="6"/>
      <c r="C156" s="7"/>
      <c r="D156" s="7"/>
      <c r="E156" s="8"/>
      <c r="F156" s="7"/>
      <c r="G156" s="9" t="str">
        <f aca="true">IF(B156="","",IF(F156="完了","✓ 完了",IF(E156="","⚠ 期限未設定",IF(E156&lt;TODAY(),"🔴 超過",IF(E156=TODAY(),"🟡 今日","")))))</f>
        <v/>
      </c>
      <c r="H156" s="6"/>
      <c r="I156" s="6"/>
      <c r="J156" s="8"/>
      <c r="K156" s="8"/>
    </row>
    <row r="157" customFormat="false" ht="15" hidden="false" customHeight="false" outlineLevel="0" collapsed="false">
      <c r="A157" s="5" t="str">
        <f aca="false">IF(B157="","",ROW()-3)</f>
        <v/>
      </c>
      <c r="B157" s="6"/>
      <c r="C157" s="7"/>
      <c r="D157" s="7"/>
      <c r="E157" s="8"/>
      <c r="F157" s="7"/>
      <c r="G157" s="9" t="str">
        <f aca="true">IF(B157="","",IF(F157="完了","✓ 完了",IF(E157="","⚠ 期限未設定",IF(E157&lt;TODAY(),"🔴 超過",IF(E157=TODAY(),"🟡 今日","")))))</f>
        <v/>
      </c>
      <c r="H157" s="6"/>
      <c r="I157" s="6"/>
      <c r="J157" s="8"/>
      <c r="K157" s="8"/>
    </row>
    <row r="158" customFormat="false" ht="15" hidden="false" customHeight="false" outlineLevel="0" collapsed="false">
      <c r="A158" s="5" t="str">
        <f aca="false">IF(B158="","",ROW()-3)</f>
        <v/>
      </c>
      <c r="B158" s="6"/>
      <c r="C158" s="7"/>
      <c r="D158" s="7"/>
      <c r="E158" s="8"/>
      <c r="F158" s="7"/>
      <c r="G158" s="9" t="str">
        <f aca="true">IF(B158="","",IF(F158="完了","✓ 完了",IF(E158="","⚠ 期限未設定",IF(E158&lt;TODAY(),"🔴 超過",IF(E158=TODAY(),"🟡 今日","")))))</f>
        <v/>
      </c>
      <c r="H158" s="6"/>
      <c r="I158" s="6"/>
      <c r="J158" s="8"/>
      <c r="K158" s="8"/>
    </row>
    <row r="159" customFormat="false" ht="15" hidden="false" customHeight="false" outlineLevel="0" collapsed="false">
      <c r="A159" s="5" t="str">
        <f aca="false">IF(B159="","",ROW()-3)</f>
        <v/>
      </c>
      <c r="B159" s="6"/>
      <c r="C159" s="7"/>
      <c r="D159" s="7"/>
      <c r="E159" s="8"/>
      <c r="F159" s="7"/>
      <c r="G159" s="9" t="str">
        <f aca="true">IF(B159="","",IF(F159="完了","✓ 完了",IF(E159="","⚠ 期限未設定",IF(E159&lt;TODAY(),"🔴 超過",IF(E159=TODAY(),"🟡 今日","")))))</f>
        <v/>
      </c>
      <c r="H159" s="6"/>
      <c r="I159" s="6"/>
      <c r="J159" s="8"/>
      <c r="K159" s="8"/>
    </row>
    <row r="160" customFormat="false" ht="15" hidden="false" customHeight="false" outlineLevel="0" collapsed="false">
      <c r="A160" s="5" t="str">
        <f aca="false">IF(B160="","",ROW()-3)</f>
        <v/>
      </c>
      <c r="B160" s="6"/>
      <c r="C160" s="7"/>
      <c r="D160" s="7"/>
      <c r="E160" s="8"/>
      <c r="F160" s="7"/>
      <c r="G160" s="9" t="str">
        <f aca="true">IF(B160="","",IF(F160="完了","✓ 完了",IF(E160="","⚠ 期限未設定",IF(E160&lt;TODAY(),"🔴 超過",IF(E160=TODAY(),"🟡 今日","")))))</f>
        <v/>
      </c>
      <c r="H160" s="6"/>
      <c r="I160" s="6"/>
      <c r="J160" s="8"/>
      <c r="K160" s="8"/>
    </row>
    <row r="161" customFormat="false" ht="15" hidden="false" customHeight="false" outlineLevel="0" collapsed="false">
      <c r="A161" s="5" t="str">
        <f aca="false">IF(B161="","",ROW()-3)</f>
        <v/>
      </c>
      <c r="B161" s="6"/>
      <c r="C161" s="7"/>
      <c r="D161" s="7"/>
      <c r="E161" s="8"/>
      <c r="F161" s="7"/>
      <c r="G161" s="9" t="str">
        <f aca="true">IF(B161="","",IF(F161="完了","✓ 完了",IF(E161="","⚠ 期限未設定",IF(E161&lt;TODAY(),"🔴 超過",IF(E161=TODAY(),"🟡 今日","")))))</f>
        <v/>
      </c>
      <c r="H161" s="6"/>
      <c r="I161" s="6"/>
      <c r="J161" s="8"/>
      <c r="K161" s="8"/>
    </row>
    <row r="162" customFormat="false" ht="15" hidden="false" customHeight="false" outlineLevel="0" collapsed="false">
      <c r="A162" s="5" t="str">
        <f aca="false">IF(B162="","",ROW()-3)</f>
        <v/>
      </c>
      <c r="B162" s="6"/>
      <c r="C162" s="7"/>
      <c r="D162" s="7"/>
      <c r="E162" s="8"/>
      <c r="F162" s="7"/>
      <c r="G162" s="9" t="str">
        <f aca="true">IF(B162="","",IF(F162="完了","✓ 完了",IF(E162="","⚠ 期限未設定",IF(E162&lt;TODAY(),"🔴 超過",IF(E162=TODAY(),"🟡 今日","")))))</f>
        <v/>
      </c>
      <c r="H162" s="6"/>
      <c r="I162" s="6"/>
      <c r="J162" s="8"/>
      <c r="K162" s="8"/>
    </row>
    <row r="163" customFormat="false" ht="15" hidden="false" customHeight="false" outlineLevel="0" collapsed="false">
      <c r="A163" s="5" t="str">
        <f aca="false">IF(B163="","",ROW()-3)</f>
        <v/>
      </c>
      <c r="B163" s="6"/>
      <c r="C163" s="7"/>
      <c r="D163" s="7"/>
      <c r="E163" s="8"/>
      <c r="F163" s="7"/>
      <c r="G163" s="9" t="str">
        <f aca="true">IF(B163="","",IF(F163="完了","✓ 完了",IF(E163="","⚠ 期限未設定",IF(E163&lt;TODAY(),"🔴 超過",IF(E163=TODAY(),"🟡 今日","")))))</f>
        <v/>
      </c>
      <c r="H163" s="6"/>
      <c r="I163" s="6"/>
      <c r="J163" s="8"/>
      <c r="K163" s="8"/>
    </row>
    <row r="164" customFormat="false" ht="15" hidden="false" customHeight="false" outlineLevel="0" collapsed="false">
      <c r="A164" s="5" t="str">
        <f aca="false">IF(B164="","",ROW()-3)</f>
        <v/>
      </c>
      <c r="B164" s="6"/>
      <c r="C164" s="7"/>
      <c r="D164" s="7"/>
      <c r="E164" s="8"/>
      <c r="F164" s="7"/>
      <c r="G164" s="9" t="str">
        <f aca="true">IF(B164="","",IF(F164="完了","✓ 完了",IF(E164="","⚠ 期限未設定",IF(E164&lt;TODAY(),"🔴 超過",IF(E164=TODAY(),"🟡 今日","")))))</f>
        <v/>
      </c>
      <c r="H164" s="6"/>
      <c r="I164" s="6"/>
      <c r="J164" s="8"/>
      <c r="K164" s="8"/>
    </row>
    <row r="165" customFormat="false" ht="15" hidden="false" customHeight="false" outlineLevel="0" collapsed="false">
      <c r="A165" s="5" t="str">
        <f aca="false">IF(B165="","",ROW()-3)</f>
        <v/>
      </c>
      <c r="B165" s="6"/>
      <c r="C165" s="7"/>
      <c r="D165" s="7"/>
      <c r="E165" s="8"/>
      <c r="F165" s="7"/>
      <c r="G165" s="9" t="str">
        <f aca="true">IF(B165="","",IF(F165="完了","✓ 完了",IF(E165="","⚠ 期限未設定",IF(E165&lt;TODAY(),"🔴 超過",IF(E165=TODAY(),"🟡 今日","")))))</f>
        <v/>
      </c>
      <c r="H165" s="6"/>
      <c r="I165" s="6"/>
      <c r="J165" s="8"/>
      <c r="K165" s="8"/>
    </row>
    <row r="166" customFormat="false" ht="15" hidden="false" customHeight="false" outlineLevel="0" collapsed="false">
      <c r="A166" s="5" t="str">
        <f aca="false">IF(B166="","",ROW()-3)</f>
        <v/>
      </c>
      <c r="B166" s="6"/>
      <c r="C166" s="7"/>
      <c r="D166" s="7"/>
      <c r="E166" s="8"/>
      <c r="F166" s="7"/>
      <c r="G166" s="9" t="str">
        <f aca="true">IF(B166="","",IF(F166="完了","✓ 完了",IF(E166="","⚠ 期限未設定",IF(E166&lt;TODAY(),"🔴 超過",IF(E166=TODAY(),"🟡 今日","")))))</f>
        <v/>
      </c>
      <c r="H166" s="6"/>
      <c r="I166" s="6"/>
      <c r="J166" s="8"/>
      <c r="K166" s="8"/>
    </row>
    <row r="167" customFormat="false" ht="15" hidden="false" customHeight="false" outlineLevel="0" collapsed="false">
      <c r="A167" s="5" t="str">
        <f aca="false">IF(B167="","",ROW()-3)</f>
        <v/>
      </c>
      <c r="B167" s="6"/>
      <c r="C167" s="7"/>
      <c r="D167" s="7"/>
      <c r="E167" s="8"/>
      <c r="F167" s="7"/>
      <c r="G167" s="9" t="str">
        <f aca="true">IF(B167="","",IF(F167="完了","✓ 完了",IF(E167="","⚠ 期限未設定",IF(E167&lt;TODAY(),"🔴 超過",IF(E167=TODAY(),"🟡 今日","")))))</f>
        <v/>
      </c>
      <c r="H167" s="6"/>
      <c r="I167" s="6"/>
      <c r="J167" s="8"/>
      <c r="K167" s="8"/>
    </row>
    <row r="168" customFormat="false" ht="15" hidden="false" customHeight="false" outlineLevel="0" collapsed="false">
      <c r="A168" s="5" t="str">
        <f aca="false">IF(B168="","",ROW()-3)</f>
        <v/>
      </c>
      <c r="B168" s="6"/>
      <c r="C168" s="7"/>
      <c r="D168" s="7"/>
      <c r="E168" s="8"/>
      <c r="F168" s="7"/>
      <c r="G168" s="9" t="str">
        <f aca="true">IF(B168="","",IF(F168="完了","✓ 完了",IF(E168="","⚠ 期限未設定",IF(E168&lt;TODAY(),"🔴 超過",IF(E168=TODAY(),"🟡 今日","")))))</f>
        <v/>
      </c>
      <c r="H168" s="6"/>
      <c r="I168" s="6"/>
      <c r="J168" s="8"/>
      <c r="K168" s="8"/>
    </row>
    <row r="169" customFormat="false" ht="15" hidden="false" customHeight="false" outlineLevel="0" collapsed="false">
      <c r="A169" s="5" t="str">
        <f aca="false">IF(B169="","",ROW()-3)</f>
        <v/>
      </c>
      <c r="B169" s="6"/>
      <c r="C169" s="7"/>
      <c r="D169" s="7"/>
      <c r="E169" s="8"/>
      <c r="F169" s="7"/>
      <c r="G169" s="9" t="str">
        <f aca="true">IF(B169="","",IF(F169="完了","✓ 完了",IF(E169="","⚠ 期限未設定",IF(E169&lt;TODAY(),"🔴 超過",IF(E169=TODAY(),"🟡 今日","")))))</f>
        <v/>
      </c>
      <c r="H169" s="6"/>
      <c r="I169" s="6"/>
      <c r="J169" s="8"/>
      <c r="K169" s="8"/>
    </row>
    <row r="170" customFormat="false" ht="15" hidden="false" customHeight="false" outlineLevel="0" collapsed="false">
      <c r="A170" s="5" t="str">
        <f aca="false">IF(B170="","",ROW()-3)</f>
        <v/>
      </c>
      <c r="B170" s="6"/>
      <c r="C170" s="7"/>
      <c r="D170" s="7"/>
      <c r="E170" s="8"/>
      <c r="F170" s="7"/>
      <c r="G170" s="9" t="str">
        <f aca="true">IF(B170="","",IF(F170="完了","✓ 完了",IF(E170="","⚠ 期限未設定",IF(E170&lt;TODAY(),"🔴 超過",IF(E170=TODAY(),"🟡 今日","")))))</f>
        <v/>
      </c>
      <c r="H170" s="6"/>
      <c r="I170" s="6"/>
      <c r="J170" s="8"/>
      <c r="K170" s="8"/>
    </row>
    <row r="171" customFormat="false" ht="15" hidden="false" customHeight="false" outlineLevel="0" collapsed="false">
      <c r="A171" s="5" t="str">
        <f aca="false">IF(B171="","",ROW()-3)</f>
        <v/>
      </c>
      <c r="B171" s="6"/>
      <c r="C171" s="7"/>
      <c r="D171" s="7"/>
      <c r="E171" s="8"/>
      <c r="F171" s="7"/>
      <c r="G171" s="9" t="str">
        <f aca="true">IF(B171="","",IF(F171="完了","✓ 完了",IF(E171="","⚠ 期限未設定",IF(E171&lt;TODAY(),"🔴 超過",IF(E171=TODAY(),"🟡 今日","")))))</f>
        <v/>
      </c>
      <c r="H171" s="6"/>
      <c r="I171" s="6"/>
      <c r="J171" s="8"/>
      <c r="K171" s="8"/>
    </row>
    <row r="172" customFormat="false" ht="15" hidden="false" customHeight="false" outlineLevel="0" collapsed="false">
      <c r="A172" s="5" t="str">
        <f aca="false">IF(B172="","",ROW()-3)</f>
        <v/>
      </c>
      <c r="B172" s="6"/>
      <c r="C172" s="7"/>
      <c r="D172" s="7"/>
      <c r="E172" s="8"/>
      <c r="F172" s="7"/>
      <c r="G172" s="9" t="str">
        <f aca="true">IF(B172="","",IF(F172="完了","✓ 完了",IF(E172="","⚠ 期限未設定",IF(E172&lt;TODAY(),"🔴 超過",IF(E172=TODAY(),"🟡 今日","")))))</f>
        <v/>
      </c>
      <c r="H172" s="6"/>
      <c r="I172" s="6"/>
      <c r="J172" s="8"/>
      <c r="K172" s="8"/>
    </row>
    <row r="173" customFormat="false" ht="15" hidden="false" customHeight="false" outlineLevel="0" collapsed="false">
      <c r="A173" s="5" t="str">
        <f aca="false">IF(B173="","",ROW()-3)</f>
        <v/>
      </c>
      <c r="B173" s="6"/>
      <c r="C173" s="7"/>
      <c r="D173" s="7"/>
      <c r="E173" s="8"/>
      <c r="F173" s="7"/>
      <c r="G173" s="9" t="str">
        <f aca="true">IF(B173="","",IF(F173="完了","✓ 完了",IF(E173="","⚠ 期限未設定",IF(E173&lt;TODAY(),"🔴 超過",IF(E173=TODAY(),"🟡 今日","")))))</f>
        <v/>
      </c>
      <c r="H173" s="6"/>
      <c r="I173" s="6"/>
      <c r="J173" s="8"/>
      <c r="K173" s="8"/>
    </row>
    <row r="174" customFormat="false" ht="15" hidden="false" customHeight="false" outlineLevel="0" collapsed="false">
      <c r="A174" s="5" t="str">
        <f aca="false">IF(B174="","",ROW()-3)</f>
        <v/>
      </c>
      <c r="B174" s="6"/>
      <c r="C174" s="7"/>
      <c r="D174" s="7"/>
      <c r="E174" s="8"/>
      <c r="F174" s="7"/>
      <c r="G174" s="9" t="str">
        <f aca="true">IF(B174="","",IF(F174="完了","✓ 完了",IF(E174="","⚠ 期限未設定",IF(E174&lt;TODAY(),"🔴 超過",IF(E174=TODAY(),"🟡 今日","")))))</f>
        <v/>
      </c>
      <c r="H174" s="6"/>
      <c r="I174" s="6"/>
      <c r="J174" s="8"/>
      <c r="K174" s="8"/>
    </row>
    <row r="175" customFormat="false" ht="15" hidden="false" customHeight="false" outlineLevel="0" collapsed="false">
      <c r="A175" s="5" t="str">
        <f aca="false">IF(B175="","",ROW()-3)</f>
        <v/>
      </c>
      <c r="B175" s="6"/>
      <c r="C175" s="7"/>
      <c r="D175" s="7"/>
      <c r="E175" s="8"/>
      <c r="F175" s="7"/>
      <c r="G175" s="9" t="str">
        <f aca="true">IF(B175="","",IF(F175="完了","✓ 完了",IF(E175="","⚠ 期限未設定",IF(E175&lt;TODAY(),"🔴 超過",IF(E175=TODAY(),"🟡 今日","")))))</f>
        <v/>
      </c>
      <c r="H175" s="6"/>
      <c r="I175" s="6"/>
      <c r="J175" s="8"/>
      <c r="K175" s="8"/>
    </row>
    <row r="176" customFormat="false" ht="15" hidden="false" customHeight="false" outlineLevel="0" collapsed="false">
      <c r="A176" s="5" t="str">
        <f aca="false">IF(B176="","",ROW()-3)</f>
        <v/>
      </c>
      <c r="B176" s="6"/>
      <c r="C176" s="7"/>
      <c r="D176" s="7"/>
      <c r="E176" s="8"/>
      <c r="F176" s="7"/>
      <c r="G176" s="9" t="str">
        <f aca="true">IF(B176="","",IF(F176="完了","✓ 完了",IF(E176="","⚠ 期限未設定",IF(E176&lt;TODAY(),"🔴 超過",IF(E176=TODAY(),"🟡 今日","")))))</f>
        <v/>
      </c>
      <c r="H176" s="6"/>
      <c r="I176" s="6"/>
      <c r="J176" s="8"/>
      <c r="K176" s="8"/>
    </row>
    <row r="177" customFormat="false" ht="15" hidden="false" customHeight="false" outlineLevel="0" collapsed="false">
      <c r="A177" s="5" t="str">
        <f aca="false">IF(B177="","",ROW()-3)</f>
        <v/>
      </c>
      <c r="B177" s="6"/>
      <c r="C177" s="7"/>
      <c r="D177" s="7"/>
      <c r="E177" s="8"/>
      <c r="F177" s="7"/>
      <c r="G177" s="9" t="str">
        <f aca="true">IF(B177="","",IF(F177="完了","✓ 完了",IF(E177="","⚠ 期限未設定",IF(E177&lt;TODAY(),"🔴 超過",IF(E177=TODAY(),"🟡 今日","")))))</f>
        <v/>
      </c>
      <c r="H177" s="6"/>
      <c r="I177" s="6"/>
      <c r="J177" s="8"/>
      <c r="K177" s="8"/>
    </row>
    <row r="178" customFormat="false" ht="15" hidden="false" customHeight="false" outlineLevel="0" collapsed="false">
      <c r="A178" s="5" t="str">
        <f aca="false">IF(B178="","",ROW()-3)</f>
        <v/>
      </c>
      <c r="B178" s="6"/>
      <c r="C178" s="7"/>
      <c r="D178" s="7"/>
      <c r="E178" s="8"/>
      <c r="F178" s="7"/>
      <c r="G178" s="9" t="str">
        <f aca="true">IF(B178="","",IF(F178="完了","✓ 完了",IF(E178="","⚠ 期限未設定",IF(E178&lt;TODAY(),"🔴 超過",IF(E178=TODAY(),"🟡 今日","")))))</f>
        <v/>
      </c>
      <c r="H178" s="6"/>
      <c r="I178" s="6"/>
      <c r="J178" s="8"/>
      <c r="K178" s="8"/>
    </row>
    <row r="179" customFormat="false" ht="15" hidden="false" customHeight="false" outlineLevel="0" collapsed="false">
      <c r="A179" s="5" t="str">
        <f aca="false">IF(B179="","",ROW()-3)</f>
        <v/>
      </c>
      <c r="B179" s="6"/>
      <c r="C179" s="7"/>
      <c r="D179" s="7"/>
      <c r="E179" s="8"/>
      <c r="F179" s="7"/>
      <c r="G179" s="9" t="str">
        <f aca="true">IF(B179="","",IF(F179="完了","✓ 完了",IF(E179="","⚠ 期限未設定",IF(E179&lt;TODAY(),"🔴 超過",IF(E179=TODAY(),"🟡 今日","")))))</f>
        <v/>
      </c>
      <c r="H179" s="6"/>
      <c r="I179" s="6"/>
      <c r="J179" s="8"/>
      <c r="K179" s="8"/>
    </row>
    <row r="180" customFormat="false" ht="15" hidden="false" customHeight="false" outlineLevel="0" collapsed="false">
      <c r="A180" s="5" t="str">
        <f aca="false">IF(B180="","",ROW()-3)</f>
        <v/>
      </c>
      <c r="B180" s="6"/>
      <c r="C180" s="7"/>
      <c r="D180" s="7"/>
      <c r="E180" s="8"/>
      <c r="F180" s="7"/>
      <c r="G180" s="9" t="str">
        <f aca="true">IF(B180="","",IF(F180="完了","✓ 完了",IF(E180="","⚠ 期限未設定",IF(E180&lt;TODAY(),"🔴 超過",IF(E180=TODAY(),"🟡 今日","")))))</f>
        <v/>
      </c>
      <c r="H180" s="6"/>
      <c r="I180" s="6"/>
      <c r="J180" s="8"/>
      <c r="K180" s="8"/>
    </row>
    <row r="181" customFormat="false" ht="15" hidden="false" customHeight="false" outlineLevel="0" collapsed="false">
      <c r="A181" s="5" t="str">
        <f aca="false">IF(B181="","",ROW()-3)</f>
        <v/>
      </c>
      <c r="B181" s="6"/>
      <c r="C181" s="7"/>
      <c r="D181" s="7"/>
      <c r="E181" s="8"/>
      <c r="F181" s="7"/>
      <c r="G181" s="9" t="str">
        <f aca="true">IF(B181="","",IF(F181="完了","✓ 完了",IF(E181="","⚠ 期限未設定",IF(E181&lt;TODAY(),"🔴 超過",IF(E181=TODAY(),"🟡 今日","")))))</f>
        <v/>
      </c>
      <c r="H181" s="6"/>
      <c r="I181" s="6"/>
      <c r="J181" s="8"/>
      <c r="K181" s="8"/>
    </row>
    <row r="182" customFormat="false" ht="15" hidden="false" customHeight="false" outlineLevel="0" collapsed="false">
      <c r="A182" s="5" t="str">
        <f aca="false">IF(B182="","",ROW()-3)</f>
        <v/>
      </c>
      <c r="B182" s="6"/>
      <c r="C182" s="7"/>
      <c r="D182" s="7"/>
      <c r="E182" s="8"/>
      <c r="F182" s="7"/>
      <c r="G182" s="9" t="str">
        <f aca="true">IF(B182="","",IF(F182="完了","✓ 完了",IF(E182="","⚠ 期限未設定",IF(E182&lt;TODAY(),"🔴 超過",IF(E182=TODAY(),"🟡 今日","")))))</f>
        <v/>
      </c>
      <c r="H182" s="6"/>
      <c r="I182" s="6"/>
      <c r="J182" s="8"/>
      <c r="K182" s="8"/>
    </row>
    <row r="183" customFormat="false" ht="15" hidden="false" customHeight="false" outlineLevel="0" collapsed="false">
      <c r="A183" s="5" t="str">
        <f aca="false">IF(B183="","",ROW()-3)</f>
        <v/>
      </c>
      <c r="B183" s="6"/>
      <c r="C183" s="7"/>
      <c r="D183" s="7"/>
      <c r="E183" s="8"/>
      <c r="F183" s="7"/>
      <c r="G183" s="9" t="str">
        <f aca="true">IF(B183="","",IF(F183="完了","✓ 完了",IF(E183="","⚠ 期限未設定",IF(E183&lt;TODAY(),"🔴 超過",IF(E183=TODAY(),"🟡 今日","")))))</f>
        <v/>
      </c>
      <c r="H183" s="6"/>
      <c r="I183" s="6"/>
      <c r="J183" s="8"/>
      <c r="K183" s="8"/>
    </row>
    <row r="184" customFormat="false" ht="15" hidden="false" customHeight="false" outlineLevel="0" collapsed="false">
      <c r="A184" s="5" t="str">
        <f aca="false">IF(B184="","",ROW()-3)</f>
        <v/>
      </c>
      <c r="B184" s="6"/>
      <c r="C184" s="7"/>
      <c r="D184" s="7"/>
      <c r="E184" s="8"/>
      <c r="F184" s="7"/>
      <c r="G184" s="9" t="str">
        <f aca="true">IF(B184="","",IF(F184="完了","✓ 完了",IF(E184="","⚠ 期限未設定",IF(E184&lt;TODAY(),"🔴 超過",IF(E184=TODAY(),"🟡 今日","")))))</f>
        <v/>
      </c>
      <c r="H184" s="6"/>
      <c r="I184" s="6"/>
      <c r="J184" s="8"/>
      <c r="K184" s="8"/>
    </row>
    <row r="185" customFormat="false" ht="15" hidden="false" customHeight="false" outlineLevel="0" collapsed="false">
      <c r="A185" s="5" t="str">
        <f aca="false">IF(B185="","",ROW()-3)</f>
        <v/>
      </c>
      <c r="B185" s="6"/>
      <c r="C185" s="7"/>
      <c r="D185" s="7"/>
      <c r="E185" s="8"/>
      <c r="F185" s="7"/>
      <c r="G185" s="9" t="str">
        <f aca="true">IF(B185="","",IF(F185="完了","✓ 完了",IF(E185="","⚠ 期限未設定",IF(E185&lt;TODAY(),"🔴 超過",IF(E185=TODAY(),"🟡 今日","")))))</f>
        <v/>
      </c>
      <c r="H185" s="6"/>
      <c r="I185" s="6"/>
      <c r="J185" s="8"/>
      <c r="K185" s="8"/>
    </row>
    <row r="186" customFormat="false" ht="15" hidden="false" customHeight="false" outlineLevel="0" collapsed="false">
      <c r="A186" s="5" t="str">
        <f aca="false">IF(B186="","",ROW()-3)</f>
        <v/>
      </c>
      <c r="B186" s="6"/>
      <c r="C186" s="7"/>
      <c r="D186" s="7"/>
      <c r="E186" s="8"/>
      <c r="F186" s="7"/>
      <c r="G186" s="9" t="str">
        <f aca="true">IF(B186="","",IF(F186="完了","✓ 完了",IF(E186="","⚠ 期限未設定",IF(E186&lt;TODAY(),"🔴 超過",IF(E186=TODAY(),"🟡 今日","")))))</f>
        <v/>
      </c>
      <c r="H186" s="6"/>
      <c r="I186" s="6"/>
      <c r="J186" s="8"/>
      <c r="K186" s="8"/>
    </row>
    <row r="187" customFormat="false" ht="15" hidden="false" customHeight="false" outlineLevel="0" collapsed="false">
      <c r="A187" s="5" t="str">
        <f aca="false">IF(B187="","",ROW()-3)</f>
        <v/>
      </c>
      <c r="B187" s="6"/>
      <c r="C187" s="7"/>
      <c r="D187" s="7"/>
      <c r="E187" s="8"/>
      <c r="F187" s="7"/>
      <c r="G187" s="9" t="str">
        <f aca="true">IF(B187="","",IF(F187="完了","✓ 完了",IF(E187="","⚠ 期限未設定",IF(E187&lt;TODAY(),"🔴 超過",IF(E187=TODAY(),"🟡 今日","")))))</f>
        <v/>
      </c>
      <c r="H187" s="6"/>
      <c r="I187" s="6"/>
      <c r="J187" s="8"/>
      <c r="K187" s="8"/>
    </row>
    <row r="188" customFormat="false" ht="15" hidden="false" customHeight="false" outlineLevel="0" collapsed="false">
      <c r="A188" s="5" t="str">
        <f aca="false">IF(B188="","",ROW()-3)</f>
        <v/>
      </c>
      <c r="B188" s="6"/>
      <c r="C188" s="7"/>
      <c r="D188" s="7"/>
      <c r="E188" s="8"/>
      <c r="F188" s="7"/>
      <c r="G188" s="9" t="str">
        <f aca="true">IF(B188="","",IF(F188="完了","✓ 完了",IF(E188="","⚠ 期限未設定",IF(E188&lt;TODAY(),"🔴 超過",IF(E188=TODAY(),"🟡 今日","")))))</f>
        <v/>
      </c>
      <c r="H188" s="6"/>
      <c r="I188" s="6"/>
      <c r="J188" s="8"/>
      <c r="K188" s="8"/>
    </row>
    <row r="189" customFormat="false" ht="15" hidden="false" customHeight="false" outlineLevel="0" collapsed="false">
      <c r="A189" s="5" t="str">
        <f aca="false">IF(B189="","",ROW()-3)</f>
        <v/>
      </c>
      <c r="B189" s="6"/>
      <c r="C189" s="7"/>
      <c r="D189" s="7"/>
      <c r="E189" s="8"/>
      <c r="F189" s="7"/>
      <c r="G189" s="9" t="str">
        <f aca="true">IF(B189="","",IF(F189="完了","✓ 完了",IF(E189="","⚠ 期限未設定",IF(E189&lt;TODAY(),"🔴 超過",IF(E189=TODAY(),"🟡 今日","")))))</f>
        <v/>
      </c>
      <c r="H189" s="6"/>
      <c r="I189" s="6"/>
      <c r="J189" s="8"/>
      <c r="K189" s="8"/>
    </row>
    <row r="190" customFormat="false" ht="15" hidden="false" customHeight="false" outlineLevel="0" collapsed="false">
      <c r="A190" s="5" t="str">
        <f aca="false">IF(B190="","",ROW()-3)</f>
        <v/>
      </c>
      <c r="B190" s="6"/>
      <c r="C190" s="7"/>
      <c r="D190" s="7"/>
      <c r="E190" s="8"/>
      <c r="F190" s="7"/>
      <c r="G190" s="9" t="str">
        <f aca="true">IF(B190="","",IF(F190="完了","✓ 完了",IF(E190="","⚠ 期限未設定",IF(E190&lt;TODAY(),"🔴 超過",IF(E190=TODAY(),"🟡 今日","")))))</f>
        <v/>
      </c>
      <c r="H190" s="6"/>
      <c r="I190" s="6"/>
      <c r="J190" s="8"/>
      <c r="K190" s="8"/>
    </row>
    <row r="191" customFormat="false" ht="15" hidden="false" customHeight="false" outlineLevel="0" collapsed="false">
      <c r="A191" s="5" t="str">
        <f aca="false">IF(B191="","",ROW()-3)</f>
        <v/>
      </c>
      <c r="B191" s="6"/>
      <c r="C191" s="7"/>
      <c r="D191" s="7"/>
      <c r="E191" s="8"/>
      <c r="F191" s="7"/>
      <c r="G191" s="9" t="str">
        <f aca="true">IF(B191="","",IF(F191="完了","✓ 完了",IF(E191="","⚠ 期限未設定",IF(E191&lt;TODAY(),"🔴 超過",IF(E191=TODAY(),"🟡 今日","")))))</f>
        <v/>
      </c>
      <c r="H191" s="6"/>
      <c r="I191" s="6"/>
      <c r="J191" s="8"/>
      <c r="K191" s="8"/>
    </row>
    <row r="192" customFormat="false" ht="15" hidden="false" customHeight="false" outlineLevel="0" collapsed="false">
      <c r="A192" s="5" t="str">
        <f aca="false">IF(B192="","",ROW()-3)</f>
        <v/>
      </c>
      <c r="B192" s="6"/>
      <c r="C192" s="7"/>
      <c r="D192" s="7"/>
      <c r="E192" s="8"/>
      <c r="F192" s="7"/>
      <c r="G192" s="9" t="str">
        <f aca="true">IF(B192="","",IF(F192="完了","✓ 完了",IF(E192="","⚠ 期限未設定",IF(E192&lt;TODAY(),"🔴 超過",IF(E192=TODAY(),"🟡 今日","")))))</f>
        <v/>
      </c>
      <c r="H192" s="6"/>
      <c r="I192" s="6"/>
      <c r="J192" s="8"/>
      <c r="K192" s="8"/>
    </row>
    <row r="193" customFormat="false" ht="15" hidden="false" customHeight="false" outlineLevel="0" collapsed="false">
      <c r="A193" s="5" t="str">
        <f aca="false">IF(B193="","",ROW()-3)</f>
        <v/>
      </c>
      <c r="B193" s="6"/>
      <c r="C193" s="7"/>
      <c r="D193" s="7"/>
      <c r="E193" s="8"/>
      <c r="F193" s="7"/>
      <c r="G193" s="9" t="str">
        <f aca="true">IF(B193="","",IF(F193="完了","✓ 完了",IF(E193="","⚠ 期限未設定",IF(E193&lt;TODAY(),"🔴 超過",IF(E193=TODAY(),"🟡 今日","")))))</f>
        <v/>
      </c>
      <c r="H193" s="6"/>
      <c r="I193" s="6"/>
      <c r="J193" s="8"/>
      <c r="K193" s="8"/>
    </row>
    <row r="194" customFormat="false" ht="15" hidden="false" customHeight="false" outlineLevel="0" collapsed="false">
      <c r="A194" s="5" t="str">
        <f aca="false">IF(B194="","",ROW()-3)</f>
        <v/>
      </c>
      <c r="B194" s="6"/>
      <c r="C194" s="7"/>
      <c r="D194" s="7"/>
      <c r="E194" s="8"/>
      <c r="F194" s="7"/>
      <c r="G194" s="9" t="str">
        <f aca="true">IF(B194="","",IF(F194="完了","✓ 完了",IF(E194="","⚠ 期限未設定",IF(E194&lt;TODAY(),"🔴 超過",IF(E194=TODAY(),"🟡 今日","")))))</f>
        <v/>
      </c>
      <c r="H194" s="6"/>
      <c r="I194" s="6"/>
      <c r="J194" s="8"/>
      <c r="K194" s="8"/>
    </row>
    <row r="195" customFormat="false" ht="15" hidden="false" customHeight="false" outlineLevel="0" collapsed="false">
      <c r="A195" s="5" t="str">
        <f aca="false">IF(B195="","",ROW()-3)</f>
        <v/>
      </c>
      <c r="B195" s="6"/>
      <c r="C195" s="7"/>
      <c r="D195" s="7"/>
      <c r="E195" s="8"/>
      <c r="F195" s="7"/>
      <c r="G195" s="9" t="str">
        <f aca="true">IF(B195="","",IF(F195="完了","✓ 完了",IF(E195="","⚠ 期限未設定",IF(E195&lt;TODAY(),"🔴 超過",IF(E195=TODAY(),"🟡 今日","")))))</f>
        <v/>
      </c>
      <c r="H195" s="6"/>
      <c r="I195" s="6"/>
      <c r="J195" s="8"/>
      <c r="K195" s="8"/>
    </row>
    <row r="196" customFormat="false" ht="15" hidden="false" customHeight="false" outlineLevel="0" collapsed="false">
      <c r="A196" s="5" t="str">
        <f aca="false">IF(B196="","",ROW()-3)</f>
        <v/>
      </c>
      <c r="B196" s="6"/>
      <c r="C196" s="7"/>
      <c r="D196" s="7"/>
      <c r="E196" s="8"/>
      <c r="F196" s="7"/>
      <c r="G196" s="9" t="str">
        <f aca="true">IF(B196="","",IF(F196="完了","✓ 完了",IF(E196="","⚠ 期限未設定",IF(E196&lt;TODAY(),"🔴 超過",IF(E196=TODAY(),"🟡 今日","")))))</f>
        <v/>
      </c>
      <c r="H196" s="6"/>
      <c r="I196" s="6"/>
      <c r="J196" s="8"/>
      <c r="K196" s="8"/>
    </row>
    <row r="197" customFormat="false" ht="15" hidden="false" customHeight="false" outlineLevel="0" collapsed="false">
      <c r="A197" s="5" t="str">
        <f aca="false">IF(B197="","",ROW()-3)</f>
        <v/>
      </c>
      <c r="B197" s="6"/>
      <c r="C197" s="7"/>
      <c r="D197" s="7"/>
      <c r="E197" s="8"/>
      <c r="F197" s="7"/>
      <c r="G197" s="9" t="str">
        <f aca="true">IF(B197="","",IF(F197="完了","✓ 完了",IF(E197="","⚠ 期限未設定",IF(E197&lt;TODAY(),"🔴 超過",IF(E197=TODAY(),"🟡 今日","")))))</f>
        <v/>
      </c>
      <c r="H197" s="6"/>
      <c r="I197" s="6"/>
      <c r="J197" s="8"/>
      <c r="K197" s="8"/>
    </row>
    <row r="198" customFormat="false" ht="15" hidden="false" customHeight="false" outlineLevel="0" collapsed="false">
      <c r="A198" s="5" t="str">
        <f aca="false">IF(B198="","",ROW()-3)</f>
        <v/>
      </c>
      <c r="B198" s="6"/>
      <c r="C198" s="7"/>
      <c r="D198" s="7"/>
      <c r="E198" s="8"/>
      <c r="F198" s="7"/>
      <c r="G198" s="9" t="str">
        <f aca="true">IF(B198="","",IF(F198="完了","✓ 完了",IF(E198="","⚠ 期限未設定",IF(E198&lt;TODAY(),"🔴 超過",IF(E198=TODAY(),"🟡 今日","")))))</f>
        <v/>
      </c>
      <c r="H198" s="6"/>
      <c r="I198" s="6"/>
      <c r="J198" s="8"/>
      <c r="K198" s="8"/>
    </row>
    <row r="199" customFormat="false" ht="15" hidden="false" customHeight="false" outlineLevel="0" collapsed="false">
      <c r="A199" s="5" t="str">
        <f aca="false">IF(B199="","",ROW()-3)</f>
        <v/>
      </c>
      <c r="B199" s="6"/>
      <c r="C199" s="7"/>
      <c r="D199" s="7"/>
      <c r="E199" s="8"/>
      <c r="F199" s="7"/>
      <c r="G199" s="9" t="str">
        <f aca="true">IF(B199="","",IF(F199="完了","✓ 完了",IF(E199="","⚠ 期限未設定",IF(E199&lt;TODAY(),"🔴 超過",IF(E199=TODAY(),"🟡 今日","")))))</f>
        <v/>
      </c>
      <c r="H199" s="6"/>
      <c r="I199" s="6"/>
      <c r="J199" s="8"/>
      <c r="K199" s="8"/>
    </row>
    <row r="200" customFormat="false" ht="15" hidden="false" customHeight="false" outlineLevel="0" collapsed="false">
      <c r="A200" s="5" t="str">
        <f aca="false">IF(B200="","",ROW()-3)</f>
        <v/>
      </c>
      <c r="B200" s="6"/>
      <c r="C200" s="7"/>
      <c r="D200" s="7"/>
      <c r="E200" s="8"/>
      <c r="F200" s="7"/>
      <c r="G200" s="9" t="str">
        <f aca="true">IF(B200="","",IF(F200="完了","✓ 完了",IF(E200="","⚠ 期限未設定",IF(E200&lt;TODAY(),"🔴 超過",IF(E200=TODAY(),"🟡 今日","")))))</f>
        <v/>
      </c>
      <c r="H200" s="6"/>
      <c r="I200" s="6"/>
      <c r="J200" s="8"/>
      <c r="K200" s="8"/>
    </row>
    <row r="201" customFormat="false" ht="15" hidden="false" customHeight="false" outlineLevel="0" collapsed="false">
      <c r="A201" s="5" t="str">
        <f aca="false">IF(B201="","",ROW()-3)</f>
        <v/>
      </c>
      <c r="B201" s="6"/>
      <c r="C201" s="7"/>
      <c r="D201" s="7"/>
      <c r="E201" s="8"/>
      <c r="F201" s="7"/>
      <c r="G201" s="9" t="str">
        <f aca="true">IF(B201="","",IF(F201="完了","✓ 完了",IF(E201="","⚠ 期限未設定",IF(E201&lt;TODAY(),"🔴 超過",IF(E201=TODAY(),"🟡 今日","")))))</f>
        <v/>
      </c>
      <c r="H201" s="6"/>
      <c r="I201" s="6"/>
      <c r="J201" s="8"/>
      <c r="K201" s="8"/>
    </row>
    <row r="202" customFormat="false" ht="15" hidden="false" customHeight="false" outlineLevel="0" collapsed="false">
      <c r="A202" s="5" t="str">
        <f aca="false">IF(B202="","",ROW()-3)</f>
        <v/>
      </c>
      <c r="B202" s="6"/>
      <c r="C202" s="7"/>
      <c r="D202" s="7"/>
      <c r="E202" s="8"/>
      <c r="F202" s="7"/>
      <c r="G202" s="9" t="str">
        <f aca="true">IF(B202="","",IF(F202="完了","✓ 完了",IF(E202="","⚠ 期限未設定",IF(E202&lt;TODAY(),"🔴 超過",IF(E202=TODAY(),"🟡 今日","")))))</f>
        <v/>
      </c>
      <c r="H202" s="6"/>
      <c r="I202" s="6"/>
      <c r="J202" s="8"/>
      <c r="K202" s="8"/>
    </row>
    <row r="203" customFormat="false" ht="15" hidden="false" customHeight="false" outlineLevel="0" collapsed="false">
      <c r="A203" s="5" t="str">
        <f aca="false">IF(B203="","",ROW()-3)</f>
        <v/>
      </c>
      <c r="B203" s="6"/>
      <c r="C203" s="7"/>
      <c r="D203" s="7"/>
      <c r="E203" s="8"/>
      <c r="F203" s="7"/>
      <c r="G203" s="9" t="str">
        <f aca="true">IF(B203="","",IF(F203="完了","✓ 完了",IF(E203="","⚠ 期限未設定",IF(E203&lt;TODAY(),"🔴 超過",IF(E203=TODAY(),"🟡 今日","")))))</f>
        <v/>
      </c>
      <c r="H203" s="6"/>
      <c r="I203" s="6"/>
      <c r="J203" s="8"/>
      <c r="K203" s="8"/>
    </row>
    <row r="204" customFormat="false" ht="15" hidden="false" customHeight="false" outlineLevel="0" collapsed="false">
      <c r="A204" s="5" t="str">
        <f aca="false">IF(B204="","",ROW()-3)</f>
        <v/>
      </c>
      <c r="B204" s="6"/>
      <c r="C204" s="7"/>
      <c r="D204" s="7"/>
      <c r="E204" s="8"/>
      <c r="F204" s="7"/>
      <c r="G204" s="9" t="str">
        <f aca="true">IF(B204="","",IF(F204="完了","✓ 完了",IF(E204="","⚠ 期限未設定",IF(E204&lt;TODAY(),"🔴 超過",IF(E204=TODAY(),"🟡 今日","")))))</f>
        <v/>
      </c>
      <c r="H204" s="6"/>
      <c r="I204" s="6"/>
      <c r="J204" s="8"/>
      <c r="K204" s="8"/>
    </row>
    <row r="205" customFormat="false" ht="15" hidden="false" customHeight="false" outlineLevel="0" collapsed="false">
      <c r="A205" s="5" t="str">
        <f aca="false">IF(B205="","",ROW()-3)</f>
        <v/>
      </c>
      <c r="B205" s="6"/>
      <c r="C205" s="7"/>
      <c r="D205" s="7"/>
      <c r="E205" s="8"/>
      <c r="F205" s="7"/>
      <c r="G205" s="9" t="str">
        <f aca="true">IF(B205="","",IF(F205="完了","✓ 完了",IF(E205="","⚠ 期限未設定",IF(E205&lt;TODAY(),"🔴 超過",IF(E205=TODAY(),"🟡 今日","")))))</f>
        <v/>
      </c>
      <c r="H205" s="6"/>
      <c r="I205" s="6"/>
      <c r="J205" s="8"/>
      <c r="K205" s="8"/>
    </row>
    <row r="206" customFormat="false" ht="15" hidden="false" customHeight="false" outlineLevel="0" collapsed="false">
      <c r="A206" s="5" t="str">
        <f aca="false">IF(B206="","",ROW()-3)</f>
        <v/>
      </c>
      <c r="B206" s="6"/>
      <c r="C206" s="7"/>
      <c r="D206" s="7"/>
      <c r="E206" s="8"/>
      <c r="F206" s="7"/>
      <c r="G206" s="9" t="str">
        <f aca="true">IF(B206="","",IF(F206="完了","✓ 完了",IF(E206="","⚠ 期限未設定",IF(E206&lt;TODAY(),"🔴 超過",IF(E206=TODAY(),"🟡 今日","")))))</f>
        <v/>
      </c>
      <c r="H206" s="6"/>
      <c r="I206" s="6"/>
      <c r="J206" s="8"/>
      <c r="K206" s="8"/>
    </row>
    <row r="207" customFormat="false" ht="15" hidden="false" customHeight="false" outlineLevel="0" collapsed="false">
      <c r="A207" s="5" t="str">
        <f aca="false">IF(B207="","",ROW()-3)</f>
        <v/>
      </c>
      <c r="B207" s="6"/>
      <c r="C207" s="7"/>
      <c r="D207" s="7"/>
      <c r="E207" s="8"/>
      <c r="F207" s="7"/>
      <c r="G207" s="9" t="str">
        <f aca="true">IF(B207="","",IF(F207="完了","✓ 完了",IF(E207="","⚠ 期限未設定",IF(E207&lt;TODAY(),"🔴 超過",IF(E207=TODAY(),"🟡 今日","")))))</f>
        <v/>
      </c>
      <c r="H207" s="6"/>
      <c r="I207" s="6"/>
      <c r="J207" s="8"/>
      <c r="K207" s="8"/>
    </row>
    <row r="208" customFormat="false" ht="15" hidden="false" customHeight="false" outlineLevel="0" collapsed="false">
      <c r="A208" s="5" t="str">
        <f aca="false">IF(B208="","",ROW()-3)</f>
        <v/>
      </c>
      <c r="B208" s="6"/>
      <c r="C208" s="7"/>
      <c r="D208" s="7"/>
      <c r="E208" s="8"/>
      <c r="F208" s="7"/>
      <c r="G208" s="9" t="str">
        <f aca="true">IF(B208="","",IF(F208="完了","✓ 完了",IF(E208="","⚠ 期限未設定",IF(E208&lt;TODAY(),"🔴 超過",IF(E208=TODAY(),"🟡 今日","")))))</f>
        <v/>
      </c>
      <c r="H208" s="6"/>
      <c r="I208" s="6"/>
      <c r="J208" s="8"/>
      <c r="K208" s="8"/>
    </row>
    <row r="209" customFormat="false" ht="15" hidden="false" customHeight="false" outlineLevel="0" collapsed="false">
      <c r="A209" s="5" t="str">
        <f aca="false">IF(B209="","",ROW()-3)</f>
        <v/>
      </c>
      <c r="B209" s="6"/>
      <c r="C209" s="7"/>
      <c r="D209" s="7"/>
      <c r="E209" s="8"/>
      <c r="F209" s="7"/>
      <c r="G209" s="9" t="str">
        <f aca="true">IF(B209="","",IF(F209="完了","✓ 完了",IF(E209="","⚠ 期限未設定",IF(E209&lt;TODAY(),"🔴 超過",IF(E209=TODAY(),"🟡 今日","")))))</f>
        <v/>
      </c>
      <c r="H209" s="6"/>
      <c r="I209" s="6"/>
      <c r="J209" s="8"/>
      <c r="K209" s="8"/>
    </row>
    <row r="210" customFormat="false" ht="15" hidden="false" customHeight="false" outlineLevel="0" collapsed="false">
      <c r="A210" s="5" t="str">
        <f aca="false">IF(B210="","",ROW()-3)</f>
        <v/>
      </c>
      <c r="B210" s="6"/>
      <c r="C210" s="7"/>
      <c r="D210" s="7"/>
      <c r="E210" s="8"/>
      <c r="F210" s="7"/>
      <c r="G210" s="9" t="str">
        <f aca="true">IF(B210="","",IF(F210="完了","✓ 完了",IF(E210="","⚠ 期限未設定",IF(E210&lt;TODAY(),"🔴 超過",IF(E210=TODAY(),"🟡 今日","")))))</f>
        <v/>
      </c>
      <c r="H210" s="6"/>
      <c r="I210" s="6"/>
      <c r="J210" s="8"/>
      <c r="K210" s="8"/>
    </row>
    <row r="211" customFormat="false" ht="15" hidden="false" customHeight="false" outlineLevel="0" collapsed="false">
      <c r="A211" s="5" t="str">
        <f aca="false">IF(B211="","",ROW()-3)</f>
        <v/>
      </c>
      <c r="B211" s="6"/>
      <c r="C211" s="7"/>
      <c r="D211" s="7"/>
      <c r="E211" s="8"/>
      <c r="F211" s="7"/>
      <c r="G211" s="9" t="str">
        <f aca="true">IF(B211="","",IF(F211="完了","✓ 完了",IF(E211="","⚠ 期限未設定",IF(E211&lt;TODAY(),"🔴 超過",IF(E211=TODAY(),"🟡 今日","")))))</f>
        <v/>
      </c>
      <c r="H211" s="6"/>
      <c r="I211" s="6"/>
      <c r="J211" s="8"/>
      <c r="K211" s="8"/>
    </row>
    <row r="212" customFormat="false" ht="15" hidden="false" customHeight="false" outlineLevel="0" collapsed="false">
      <c r="A212" s="5" t="str">
        <f aca="false">IF(B212="","",ROW()-3)</f>
        <v/>
      </c>
      <c r="B212" s="6"/>
      <c r="C212" s="7"/>
      <c r="D212" s="7"/>
      <c r="E212" s="8"/>
      <c r="F212" s="7"/>
      <c r="G212" s="9" t="str">
        <f aca="true">IF(B212="","",IF(F212="完了","✓ 完了",IF(E212="","⚠ 期限未設定",IF(E212&lt;TODAY(),"🔴 超過",IF(E212=TODAY(),"🟡 今日","")))))</f>
        <v/>
      </c>
      <c r="H212" s="6"/>
      <c r="I212" s="6"/>
      <c r="J212" s="8"/>
      <c r="K212" s="8"/>
    </row>
    <row r="213" customFormat="false" ht="15" hidden="false" customHeight="false" outlineLevel="0" collapsed="false">
      <c r="A213" s="5" t="str">
        <f aca="false">IF(B213="","",ROW()-3)</f>
        <v/>
      </c>
      <c r="B213" s="6"/>
      <c r="C213" s="7"/>
      <c r="D213" s="7"/>
      <c r="E213" s="8"/>
      <c r="F213" s="7"/>
      <c r="G213" s="9" t="str">
        <f aca="true">IF(B213="","",IF(F213="完了","✓ 完了",IF(E213="","⚠ 期限未設定",IF(E213&lt;TODAY(),"🔴 超過",IF(E213=TODAY(),"🟡 今日","")))))</f>
        <v/>
      </c>
      <c r="H213" s="6"/>
      <c r="I213" s="6"/>
      <c r="J213" s="8"/>
      <c r="K213" s="8"/>
    </row>
    <row r="214" customFormat="false" ht="15" hidden="false" customHeight="false" outlineLevel="0" collapsed="false">
      <c r="A214" s="5" t="str">
        <f aca="false">IF(B214="","",ROW()-3)</f>
        <v/>
      </c>
      <c r="B214" s="6"/>
      <c r="C214" s="7"/>
      <c r="D214" s="7"/>
      <c r="E214" s="8"/>
      <c r="F214" s="7"/>
      <c r="G214" s="9" t="str">
        <f aca="true">IF(B214="","",IF(F214="完了","✓ 完了",IF(E214="","⚠ 期限未設定",IF(E214&lt;TODAY(),"🔴 超過",IF(E214=TODAY(),"🟡 今日","")))))</f>
        <v/>
      </c>
      <c r="H214" s="6"/>
      <c r="I214" s="6"/>
      <c r="J214" s="8"/>
      <c r="K214" s="8"/>
    </row>
    <row r="215" customFormat="false" ht="15" hidden="false" customHeight="false" outlineLevel="0" collapsed="false">
      <c r="A215" s="5" t="str">
        <f aca="false">IF(B215="","",ROW()-3)</f>
        <v/>
      </c>
      <c r="B215" s="6"/>
      <c r="C215" s="7"/>
      <c r="D215" s="7"/>
      <c r="E215" s="8"/>
      <c r="F215" s="7"/>
      <c r="G215" s="9" t="str">
        <f aca="true">IF(B215="","",IF(F215="完了","✓ 完了",IF(E215="","⚠ 期限未設定",IF(E215&lt;TODAY(),"🔴 超過",IF(E215=TODAY(),"🟡 今日","")))))</f>
        <v/>
      </c>
      <c r="H215" s="6"/>
      <c r="I215" s="6"/>
      <c r="J215" s="8"/>
      <c r="K215" s="8"/>
    </row>
    <row r="216" customFormat="false" ht="15" hidden="false" customHeight="false" outlineLevel="0" collapsed="false">
      <c r="A216" s="5" t="str">
        <f aca="false">IF(B216="","",ROW()-3)</f>
        <v/>
      </c>
      <c r="B216" s="6"/>
      <c r="C216" s="7"/>
      <c r="D216" s="7"/>
      <c r="E216" s="8"/>
      <c r="F216" s="7"/>
      <c r="G216" s="9" t="str">
        <f aca="true">IF(B216="","",IF(F216="完了","✓ 完了",IF(E216="","⚠ 期限未設定",IF(E216&lt;TODAY(),"🔴 超過",IF(E216=TODAY(),"🟡 今日","")))))</f>
        <v/>
      </c>
      <c r="H216" s="6"/>
      <c r="I216" s="6"/>
      <c r="J216" s="8"/>
      <c r="K216" s="8"/>
    </row>
    <row r="217" customFormat="false" ht="15" hidden="false" customHeight="false" outlineLevel="0" collapsed="false">
      <c r="A217" s="5" t="str">
        <f aca="false">IF(B217="","",ROW()-3)</f>
        <v/>
      </c>
      <c r="B217" s="6"/>
      <c r="C217" s="7"/>
      <c r="D217" s="7"/>
      <c r="E217" s="8"/>
      <c r="F217" s="7"/>
      <c r="G217" s="9" t="str">
        <f aca="true">IF(B217="","",IF(F217="完了","✓ 完了",IF(E217="","⚠ 期限未設定",IF(E217&lt;TODAY(),"🔴 超過",IF(E217=TODAY(),"🟡 今日","")))))</f>
        <v/>
      </c>
      <c r="H217" s="6"/>
      <c r="I217" s="6"/>
      <c r="J217" s="8"/>
      <c r="K217" s="8"/>
    </row>
    <row r="218" customFormat="false" ht="15" hidden="false" customHeight="false" outlineLevel="0" collapsed="false">
      <c r="A218" s="5" t="str">
        <f aca="false">IF(B218="","",ROW()-3)</f>
        <v/>
      </c>
      <c r="B218" s="6"/>
      <c r="C218" s="7"/>
      <c r="D218" s="7"/>
      <c r="E218" s="8"/>
      <c r="F218" s="7"/>
      <c r="G218" s="9" t="str">
        <f aca="true">IF(B218="","",IF(F218="完了","✓ 完了",IF(E218="","⚠ 期限未設定",IF(E218&lt;TODAY(),"🔴 超過",IF(E218=TODAY(),"🟡 今日","")))))</f>
        <v/>
      </c>
      <c r="H218" s="6"/>
      <c r="I218" s="6"/>
      <c r="J218" s="8"/>
      <c r="K218" s="8"/>
    </row>
    <row r="219" customFormat="false" ht="15" hidden="false" customHeight="false" outlineLevel="0" collapsed="false">
      <c r="A219" s="5" t="str">
        <f aca="false">IF(B219="","",ROW()-3)</f>
        <v/>
      </c>
      <c r="B219" s="6"/>
      <c r="C219" s="7"/>
      <c r="D219" s="7"/>
      <c r="E219" s="8"/>
      <c r="F219" s="7"/>
      <c r="G219" s="9" t="str">
        <f aca="true">IF(B219="","",IF(F219="完了","✓ 完了",IF(E219="","⚠ 期限未設定",IF(E219&lt;TODAY(),"🔴 超過",IF(E219=TODAY(),"🟡 今日","")))))</f>
        <v/>
      </c>
      <c r="H219" s="6"/>
      <c r="I219" s="6"/>
      <c r="J219" s="8"/>
      <c r="K219" s="8"/>
    </row>
    <row r="220" customFormat="false" ht="15" hidden="false" customHeight="false" outlineLevel="0" collapsed="false">
      <c r="A220" s="5" t="str">
        <f aca="false">IF(B220="","",ROW()-3)</f>
        <v/>
      </c>
      <c r="B220" s="6"/>
      <c r="C220" s="7"/>
      <c r="D220" s="7"/>
      <c r="E220" s="8"/>
      <c r="F220" s="7"/>
      <c r="G220" s="9" t="str">
        <f aca="true">IF(B220="","",IF(F220="完了","✓ 完了",IF(E220="","⚠ 期限未設定",IF(E220&lt;TODAY(),"🔴 超過",IF(E220=TODAY(),"🟡 今日","")))))</f>
        <v/>
      </c>
      <c r="H220" s="6"/>
      <c r="I220" s="6"/>
      <c r="J220" s="8"/>
      <c r="K220" s="8"/>
    </row>
    <row r="221" customFormat="false" ht="15" hidden="false" customHeight="false" outlineLevel="0" collapsed="false">
      <c r="A221" s="5" t="str">
        <f aca="false">IF(B221="","",ROW()-3)</f>
        <v/>
      </c>
      <c r="B221" s="6"/>
      <c r="C221" s="7"/>
      <c r="D221" s="7"/>
      <c r="E221" s="8"/>
      <c r="F221" s="7"/>
      <c r="G221" s="9" t="str">
        <f aca="true">IF(B221="","",IF(F221="完了","✓ 完了",IF(E221="","⚠ 期限未設定",IF(E221&lt;TODAY(),"🔴 超過",IF(E221=TODAY(),"🟡 今日","")))))</f>
        <v/>
      </c>
      <c r="H221" s="6"/>
      <c r="I221" s="6"/>
      <c r="J221" s="8"/>
      <c r="K221" s="8"/>
    </row>
    <row r="222" customFormat="false" ht="15" hidden="false" customHeight="false" outlineLevel="0" collapsed="false">
      <c r="A222" s="5" t="str">
        <f aca="false">IF(B222="","",ROW()-3)</f>
        <v/>
      </c>
      <c r="B222" s="6"/>
      <c r="C222" s="7"/>
      <c r="D222" s="7"/>
      <c r="E222" s="8"/>
      <c r="F222" s="7"/>
      <c r="G222" s="9" t="str">
        <f aca="true">IF(B222="","",IF(F222="完了","✓ 完了",IF(E222="","⚠ 期限未設定",IF(E222&lt;TODAY(),"🔴 超過",IF(E222=TODAY(),"🟡 今日","")))))</f>
        <v/>
      </c>
      <c r="H222" s="6"/>
      <c r="I222" s="6"/>
      <c r="J222" s="8"/>
      <c r="K222" s="8"/>
    </row>
    <row r="223" customFormat="false" ht="15" hidden="false" customHeight="false" outlineLevel="0" collapsed="false">
      <c r="A223" s="5" t="str">
        <f aca="false">IF(B223="","",ROW()-3)</f>
        <v/>
      </c>
      <c r="B223" s="6"/>
      <c r="C223" s="7"/>
      <c r="D223" s="7"/>
      <c r="E223" s="8"/>
      <c r="F223" s="7"/>
      <c r="G223" s="9" t="str">
        <f aca="true">IF(B223="","",IF(F223="完了","✓ 完了",IF(E223="","⚠ 期限未設定",IF(E223&lt;TODAY(),"🔴 超過",IF(E223=TODAY(),"🟡 今日","")))))</f>
        <v/>
      </c>
      <c r="H223" s="6"/>
      <c r="I223" s="6"/>
      <c r="J223" s="8"/>
      <c r="K223" s="8"/>
    </row>
    <row r="224" customFormat="false" ht="15" hidden="false" customHeight="false" outlineLevel="0" collapsed="false">
      <c r="A224" s="5" t="str">
        <f aca="false">IF(B224="","",ROW()-3)</f>
        <v/>
      </c>
      <c r="B224" s="6"/>
      <c r="C224" s="7"/>
      <c r="D224" s="7"/>
      <c r="E224" s="8"/>
      <c r="F224" s="7"/>
      <c r="G224" s="9" t="str">
        <f aca="true">IF(B224="","",IF(F224="完了","✓ 完了",IF(E224="","⚠ 期限未設定",IF(E224&lt;TODAY(),"🔴 超過",IF(E224=TODAY(),"🟡 今日","")))))</f>
        <v/>
      </c>
      <c r="H224" s="6"/>
      <c r="I224" s="6"/>
      <c r="J224" s="8"/>
      <c r="K224" s="8"/>
    </row>
    <row r="225" customFormat="false" ht="15" hidden="false" customHeight="false" outlineLevel="0" collapsed="false">
      <c r="A225" s="5" t="str">
        <f aca="false">IF(B225="","",ROW()-3)</f>
        <v/>
      </c>
      <c r="B225" s="6"/>
      <c r="C225" s="7"/>
      <c r="D225" s="7"/>
      <c r="E225" s="8"/>
      <c r="F225" s="7"/>
      <c r="G225" s="9" t="str">
        <f aca="true">IF(B225="","",IF(F225="完了","✓ 完了",IF(E225="","⚠ 期限未設定",IF(E225&lt;TODAY(),"🔴 超過",IF(E225=TODAY(),"🟡 今日","")))))</f>
        <v/>
      </c>
      <c r="H225" s="6"/>
      <c r="I225" s="6"/>
      <c r="J225" s="8"/>
      <c r="K225" s="8"/>
    </row>
    <row r="226" customFormat="false" ht="15" hidden="false" customHeight="false" outlineLevel="0" collapsed="false">
      <c r="A226" s="5" t="str">
        <f aca="false">IF(B226="","",ROW()-3)</f>
        <v/>
      </c>
      <c r="B226" s="6"/>
      <c r="C226" s="7"/>
      <c r="D226" s="7"/>
      <c r="E226" s="8"/>
      <c r="F226" s="7"/>
      <c r="G226" s="9" t="str">
        <f aca="true">IF(B226="","",IF(F226="完了","✓ 完了",IF(E226="","⚠ 期限未設定",IF(E226&lt;TODAY(),"🔴 超過",IF(E226=TODAY(),"🟡 今日","")))))</f>
        <v/>
      </c>
      <c r="H226" s="6"/>
      <c r="I226" s="6"/>
      <c r="J226" s="8"/>
      <c r="K226" s="8"/>
    </row>
    <row r="227" customFormat="false" ht="15" hidden="false" customHeight="false" outlineLevel="0" collapsed="false">
      <c r="A227" s="5" t="str">
        <f aca="false">IF(B227="","",ROW()-3)</f>
        <v/>
      </c>
      <c r="B227" s="6"/>
      <c r="C227" s="7"/>
      <c r="D227" s="7"/>
      <c r="E227" s="8"/>
      <c r="F227" s="7"/>
      <c r="G227" s="9" t="str">
        <f aca="true">IF(B227="","",IF(F227="完了","✓ 完了",IF(E227="","⚠ 期限未設定",IF(E227&lt;TODAY(),"🔴 超過",IF(E227=TODAY(),"🟡 今日","")))))</f>
        <v/>
      </c>
      <c r="H227" s="6"/>
      <c r="I227" s="6"/>
      <c r="J227" s="8"/>
      <c r="K227" s="8"/>
    </row>
    <row r="228" customFormat="false" ht="15" hidden="false" customHeight="false" outlineLevel="0" collapsed="false">
      <c r="A228" s="5" t="str">
        <f aca="false">IF(B228="","",ROW()-3)</f>
        <v/>
      </c>
      <c r="B228" s="6"/>
      <c r="C228" s="7"/>
      <c r="D228" s="7"/>
      <c r="E228" s="8"/>
      <c r="F228" s="7"/>
      <c r="G228" s="9" t="str">
        <f aca="true">IF(B228="","",IF(F228="完了","✓ 完了",IF(E228="","⚠ 期限未設定",IF(E228&lt;TODAY(),"🔴 超過",IF(E228=TODAY(),"🟡 今日","")))))</f>
        <v/>
      </c>
      <c r="H228" s="6"/>
      <c r="I228" s="6"/>
      <c r="J228" s="8"/>
      <c r="K228" s="8"/>
    </row>
    <row r="229" customFormat="false" ht="15" hidden="false" customHeight="false" outlineLevel="0" collapsed="false">
      <c r="A229" s="5" t="str">
        <f aca="false">IF(B229="","",ROW()-3)</f>
        <v/>
      </c>
      <c r="B229" s="6"/>
      <c r="C229" s="7"/>
      <c r="D229" s="7"/>
      <c r="E229" s="8"/>
      <c r="F229" s="7"/>
      <c r="G229" s="9" t="str">
        <f aca="true">IF(B229="","",IF(F229="完了","✓ 完了",IF(E229="","⚠ 期限未設定",IF(E229&lt;TODAY(),"🔴 超過",IF(E229=TODAY(),"🟡 今日","")))))</f>
        <v/>
      </c>
      <c r="H229" s="6"/>
      <c r="I229" s="6"/>
      <c r="J229" s="8"/>
      <c r="K229" s="8"/>
    </row>
    <row r="230" customFormat="false" ht="15" hidden="false" customHeight="false" outlineLevel="0" collapsed="false">
      <c r="A230" s="5" t="str">
        <f aca="false">IF(B230="","",ROW()-3)</f>
        <v/>
      </c>
      <c r="B230" s="6"/>
      <c r="C230" s="7"/>
      <c r="D230" s="7"/>
      <c r="E230" s="8"/>
      <c r="F230" s="7"/>
      <c r="G230" s="9" t="str">
        <f aca="true">IF(B230="","",IF(F230="完了","✓ 完了",IF(E230="","⚠ 期限未設定",IF(E230&lt;TODAY(),"🔴 超過",IF(E230=TODAY(),"🟡 今日","")))))</f>
        <v/>
      </c>
      <c r="H230" s="6"/>
      <c r="I230" s="6"/>
      <c r="J230" s="8"/>
      <c r="K230" s="8"/>
    </row>
    <row r="231" customFormat="false" ht="15" hidden="false" customHeight="false" outlineLevel="0" collapsed="false">
      <c r="A231" s="5" t="str">
        <f aca="false">IF(B231="","",ROW()-3)</f>
        <v/>
      </c>
      <c r="B231" s="6"/>
      <c r="C231" s="7"/>
      <c r="D231" s="7"/>
      <c r="E231" s="8"/>
      <c r="F231" s="7"/>
      <c r="G231" s="9" t="str">
        <f aca="true">IF(B231="","",IF(F231="完了","✓ 完了",IF(E231="","⚠ 期限未設定",IF(E231&lt;TODAY(),"🔴 超過",IF(E231=TODAY(),"🟡 今日","")))))</f>
        <v/>
      </c>
      <c r="H231" s="6"/>
      <c r="I231" s="6"/>
      <c r="J231" s="8"/>
      <c r="K231" s="8"/>
    </row>
    <row r="232" customFormat="false" ht="15" hidden="false" customHeight="false" outlineLevel="0" collapsed="false">
      <c r="A232" s="5" t="str">
        <f aca="false">IF(B232="","",ROW()-3)</f>
        <v/>
      </c>
      <c r="B232" s="6"/>
      <c r="C232" s="7"/>
      <c r="D232" s="7"/>
      <c r="E232" s="8"/>
      <c r="F232" s="7"/>
      <c r="G232" s="9" t="str">
        <f aca="true">IF(B232="","",IF(F232="完了","✓ 完了",IF(E232="","⚠ 期限未設定",IF(E232&lt;TODAY(),"🔴 超過",IF(E232=TODAY(),"🟡 今日","")))))</f>
        <v/>
      </c>
      <c r="H232" s="6"/>
      <c r="I232" s="6"/>
      <c r="J232" s="8"/>
      <c r="K232" s="8"/>
    </row>
    <row r="233" customFormat="false" ht="15" hidden="false" customHeight="false" outlineLevel="0" collapsed="false">
      <c r="A233" s="5" t="str">
        <f aca="false">IF(B233="","",ROW()-3)</f>
        <v/>
      </c>
      <c r="B233" s="6"/>
      <c r="C233" s="7"/>
      <c r="D233" s="7"/>
      <c r="E233" s="8"/>
      <c r="F233" s="7"/>
      <c r="G233" s="9" t="str">
        <f aca="true">IF(B233="","",IF(F233="完了","✓ 完了",IF(E233="","⚠ 期限未設定",IF(E233&lt;TODAY(),"🔴 超過",IF(E233=TODAY(),"🟡 今日","")))))</f>
        <v/>
      </c>
      <c r="H233" s="6"/>
      <c r="I233" s="6"/>
      <c r="J233" s="8"/>
      <c r="K233" s="8"/>
    </row>
    <row r="234" customFormat="false" ht="15" hidden="false" customHeight="false" outlineLevel="0" collapsed="false">
      <c r="A234" s="5" t="str">
        <f aca="false">IF(B234="","",ROW()-3)</f>
        <v/>
      </c>
      <c r="B234" s="6"/>
      <c r="C234" s="7"/>
      <c r="D234" s="7"/>
      <c r="E234" s="8"/>
      <c r="F234" s="7"/>
      <c r="G234" s="9" t="str">
        <f aca="true">IF(B234="","",IF(F234="完了","✓ 完了",IF(E234="","⚠ 期限未設定",IF(E234&lt;TODAY(),"🔴 超過",IF(E234=TODAY(),"🟡 今日","")))))</f>
        <v/>
      </c>
      <c r="H234" s="6"/>
      <c r="I234" s="6"/>
      <c r="J234" s="8"/>
      <c r="K234" s="8"/>
    </row>
    <row r="235" customFormat="false" ht="15" hidden="false" customHeight="false" outlineLevel="0" collapsed="false">
      <c r="A235" s="5" t="str">
        <f aca="false">IF(B235="","",ROW()-3)</f>
        <v/>
      </c>
      <c r="B235" s="6"/>
      <c r="C235" s="7"/>
      <c r="D235" s="7"/>
      <c r="E235" s="8"/>
      <c r="F235" s="7"/>
      <c r="G235" s="9" t="str">
        <f aca="true">IF(B235="","",IF(F235="完了","✓ 完了",IF(E235="","⚠ 期限未設定",IF(E235&lt;TODAY(),"🔴 超過",IF(E235=TODAY(),"🟡 今日","")))))</f>
        <v/>
      </c>
      <c r="H235" s="6"/>
      <c r="I235" s="6"/>
      <c r="J235" s="8"/>
      <c r="K235" s="8"/>
    </row>
    <row r="236" customFormat="false" ht="15" hidden="false" customHeight="false" outlineLevel="0" collapsed="false">
      <c r="A236" s="5" t="str">
        <f aca="false">IF(B236="","",ROW()-3)</f>
        <v/>
      </c>
      <c r="B236" s="6"/>
      <c r="C236" s="7"/>
      <c r="D236" s="7"/>
      <c r="E236" s="8"/>
      <c r="F236" s="7"/>
      <c r="G236" s="9" t="str">
        <f aca="true">IF(B236="","",IF(F236="完了","✓ 完了",IF(E236="","⚠ 期限未設定",IF(E236&lt;TODAY(),"🔴 超過",IF(E236=TODAY(),"🟡 今日","")))))</f>
        <v/>
      </c>
      <c r="H236" s="6"/>
      <c r="I236" s="6"/>
      <c r="J236" s="8"/>
      <c r="K236" s="8"/>
    </row>
    <row r="237" customFormat="false" ht="15" hidden="false" customHeight="false" outlineLevel="0" collapsed="false">
      <c r="A237" s="5" t="str">
        <f aca="false">IF(B237="","",ROW()-3)</f>
        <v/>
      </c>
      <c r="B237" s="6"/>
      <c r="C237" s="7"/>
      <c r="D237" s="7"/>
      <c r="E237" s="8"/>
      <c r="F237" s="7"/>
      <c r="G237" s="9" t="str">
        <f aca="true">IF(B237="","",IF(F237="完了","✓ 完了",IF(E237="","⚠ 期限未設定",IF(E237&lt;TODAY(),"🔴 超過",IF(E237=TODAY(),"🟡 今日","")))))</f>
        <v/>
      </c>
      <c r="H237" s="6"/>
      <c r="I237" s="6"/>
      <c r="J237" s="8"/>
      <c r="K237" s="8"/>
    </row>
    <row r="238" customFormat="false" ht="15" hidden="false" customHeight="false" outlineLevel="0" collapsed="false">
      <c r="A238" s="5" t="str">
        <f aca="false">IF(B238="","",ROW()-3)</f>
        <v/>
      </c>
      <c r="B238" s="6"/>
      <c r="C238" s="7"/>
      <c r="D238" s="7"/>
      <c r="E238" s="8"/>
      <c r="F238" s="7"/>
      <c r="G238" s="9" t="str">
        <f aca="true">IF(B238="","",IF(F238="完了","✓ 完了",IF(E238="","⚠ 期限未設定",IF(E238&lt;TODAY(),"🔴 超過",IF(E238=TODAY(),"🟡 今日","")))))</f>
        <v/>
      </c>
      <c r="H238" s="6"/>
      <c r="I238" s="6"/>
      <c r="J238" s="8"/>
      <c r="K238" s="8"/>
    </row>
    <row r="239" customFormat="false" ht="15" hidden="false" customHeight="false" outlineLevel="0" collapsed="false">
      <c r="A239" s="5" t="str">
        <f aca="false">IF(B239="","",ROW()-3)</f>
        <v/>
      </c>
      <c r="B239" s="6"/>
      <c r="C239" s="7"/>
      <c r="D239" s="7"/>
      <c r="E239" s="8"/>
      <c r="F239" s="7"/>
      <c r="G239" s="9" t="str">
        <f aca="true">IF(B239="","",IF(F239="完了","✓ 完了",IF(E239="","⚠ 期限未設定",IF(E239&lt;TODAY(),"🔴 超過",IF(E239=TODAY(),"🟡 今日","")))))</f>
        <v/>
      </c>
      <c r="H239" s="6"/>
      <c r="I239" s="6"/>
      <c r="J239" s="8"/>
      <c r="K239" s="8"/>
    </row>
    <row r="240" customFormat="false" ht="15" hidden="false" customHeight="false" outlineLevel="0" collapsed="false">
      <c r="A240" s="5" t="str">
        <f aca="false">IF(B240="","",ROW()-3)</f>
        <v/>
      </c>
      <c r="B240" s="6"/>
      <c r="C240" s="7"/>
      <c r="D240" s="7"/>
      <c r="E240" s="8"/>
      <c r="F240" s="7"/>
      <c r="G240" s="9" t="str">
        <f aca="true">IF(B240="","",IF(F240="完了","✓ 完了",IF(E240="","⚠ 期限未設定",IF(E240&lt;TODAY(),"🔴 超過",IF(E240=TODAY(),"🟡 今日","")))))</f>
        <v/>
      </c>
      <c r="H240" s="6"/>
      <c r="I240" s="6"/>
      <c r="J240" s="8"/>
      <c r="K240" s="8"/>
    </row>
    <row r="241" customFormat="false" ht="15" hidden="false" customHeight="false" outlineLevel="0" collapsed="false">
      <c r="A241" s="5" t="str">
        <f aca="false">IF(B241="","",ROW()-3)</f>
        <v/>
      </c>
      <c r="B241" s="6"/>
      <c r="C241" s="7"/>
      <c r="D241" s="7"/>
      <c r="E241" s="8"/>
      <c r="F241" s="7"/>
      <c r="G241" s="9" t="str">
        <f aca="true">IF(B241="","",IF(F241="完了","✓ 完了",IF(E241="","⚠ 期限未設定",IF(E241&lt;TODAY(),"🔴 超過",IF(E241=TODAY(),"🟡 今日","")))))</f>
        <v/>
      </c>
      <c r="H241" s="6"/>
      <c r="I241" s="6"/>
      <c r="J241" s="8"/>
      <c r="K241" s="8"/>
    </row>
    <row r="242" customFormat="false" ht="15" hidden="false" customHeight="false" outlineLevel="0" collapsed="false">
      <c r="A242" s="5" t="str">
        <f aca="false">IF(B242="","",ROW()-3)</f>
        <v/>
      </c>
      <c r="B242" s="6"/>
      <c r="C242" s="7"/>
      <c r="D242" s="7"/>
      <c r="E242" s="8"/>
      <c r="F242" s="7"/>
      <c r="G242" s="9" t="str">
        <f aca="true">IF(B242="","",IF(F242="完了","✓ 完了",IF(E242="","⚠ 期限未設定",IF(E242&lt;TODAY(),"🔴 超過",IF(E242=TODAY(),"🟡 今日","")))))</f>
        <v/>
      </c>
      <c r="H242" s="6"/>
      <c r="I242" s="6"/>
      <c r="J242" s="8"/>
      <c r="K242" s="8"/>
    </row>
    <row r="243" customFormat="false" ht="15" hidden="false" customHeight="false" outlineLevel="0" collapsed="false">
      <c r="A243" s="5" t="str">
        <f aca="false">IF(B243="","",ROW()-3)</f>
        <v/>
      </c>
      <c r="B243" s="6"/>
      <c r="C243" s="7"/>
      <c r="D243" s="7"/>
      <c r="E243" s="8"/>
      <c r="F243" s="7"/>
      <c r="G243" s="9" t="str">
        <f aca="true">IF(B243="","",IF(F243="完了","✓ 完了",IF(E243="","⚠ 期限未設定",IF(E243&lt;TODAY(),"🔴 超過",IF(E243=TODAY(),"🟡 今日","")))))</f>
        <v/>
      </c>
      <c r="H243" s="6"/>
      <c r="I243" s="6"/>
      <c r="J243" s="8"/>
      <c r="K243" s="8"/>
    </row>
    <row r="244" customFormat="false" ht="15" hidden="false" customHeight="false" outlineLevel="0" collapsed="false">
      <c r="A244" s="5" t="str">
        <f aca="false">IF(B244="","",ROW()-3)</f>
        <v/>
      </c>
      <c r="B244" s="6"/>
      <c r="C244" s="7"/>
      <c r="D244" s="7"/>
      <c r="E244" s="8"/>
      <c r="F244" s="7"/>
      <c r="G244" s="9" t="str">
        <f aca="true">IF(B244="","",IF(F244="完了","✓ 完了",IF(E244="","⚠ 期限未設定",IF(E244&lt;TODAY(),"🔴 超過",IF(E244=TODAY(),"🟡 今日","")))))</f>
        <v/>
      </c>
      <c r="H244" s="6"/>
      <c r="I244" s="6"/>
      <c r="J244" s="8"/>
      <c r="K244" s="8"/>
    </row>
    <row r="245" customFormat="false" ht="15" hidden="false" customHeight="false" outlineLevel="0" collapsed="false">
      <c r="A245" s="5" t="str">
        <f aca="false">IF(B245="","",ROW()-3)</f>
        <v/>
      </c>
      <c r="B245" s="6"/>
      <c r="C245" s="7"/>
      <c r="D245" s="7"/>
      <c r="E245" s="8"/>
      <c r="F245" s="7"/>
      <c r="G245" s="9" t="str">
        <f aca="true">IF(B245="","",IF(F245="完了","✓ 完了",IF(E245="","⚠ 期限未設定",IF(E245&lt;TODAY(),"🔴 超過",IF(E245=TODAY(),"🟡 今日","")))))</f>
        <v/>
      </c>
      <c r="H245" s="6"/>
      <c r="I245" s="6"/>
      <c r="J245" s="8"/>
      <c r="K245" s="8"/>
    </row>
    <row r="246" customFormat="false" ht="15" hidden="false" customHeight="false" outlineLevel="0" collapsed="false">
      <c r="A246" s="5" t="str">
        <f aca="false">IF(B246="","",ROW()-3)</f>
        <v/>
      </c>
      <c r="B246" s="6"/>
      <c r="C246" s="7"/>
      <c r="D246" s="7"/>
      <c r="E246" s="8"/>
      <c r="F246" s="7"/>
      <c r="G246" s="9" t="str">
        <f aca="true">IF(B246="","",IF(F246="完了","✓ 完了",IF(E246="","⚠ 期限未設定",IF(E246&lt;TODAY(),"🔴 超過",IF(E246=TODAY(),"🟡 今日","")))))</f>
        <v/>
      </c>
      <c r="H246" s="6"/>
      <c r="I246" s="6"/>
      <c r="J246" s="8"/>
      <c r="K246" s="8"/>
    </row>
    <row r="247" customFormat="false" ht="15" hidden="false" customHeight="false" outlineLevel="0" collapsed="false">
      <c r="A247" s="5" t="str">
        <f aca="false">IF(B247="","",ROW()-3)</f>
        <v/>
      </c>
      <c r="B247" s="6"/>
      <c r="C247" s="7"/>
      <c r="D247" s="7"/>
      <c r="E247" s="8"/>
      <c r="F247" s="7"/>
      <c r="G247" s="9" t="str">
        <f aca="true">IF(B247="","",IF(F247="完了","✓ 完了",IF(E247="","⚠ 期限未設定",IF(E247&lt;TODAY(),"🔴 超過",IF(E247=TODAY(),"🟡 今日","")))))</f>
        <v/>
      </c>
      <c r="H247" s="6"/>
      <c r="I247" s="6"/>
      <c r="J247" s="8"/>
      <c r="K247" s="8"/>
    </row>
    <row r="248" customFormat="false" ht="15" hidden="false" customHeight="false" outlineLevel="0" collapsed="false">
      <c r="A248" s="5" t="str">
        <f aca="false">IF(B248="","",ROW()-3)</f>
        <v/>
      </c>
      <c r="B248" s="6"/>
      <c r="C248" s="7"/>
      <c r="D248" s="7"/>
      <c r="E248" s="8"/>
      <c r="F248" s="7"/>
      <c r="G248" s="9" t="str">
        <f aca="true">IF(B248="","",IF(F248="完了","✓ 完了",IF(E248="","⚠ 期限未設定",IF(E248&lt;TODAY(),"🔴 超過",IF(E248=TODAY(),"🟡 今日","")))))</f>
        <v/>
      </c>
      <c r="H248" s="6"/>
      <c r="I248" s="6"/>
      <c r="J248" s="8"/>
      <c r="K248" s="8"/>
    </row>
    <row r="249" customFormat="false" ht="15" hidden="false" customHeight="false" outlineLevel="0" collapsed="false">
      <c r="A249" s="5" t="str">
        <f aca="false">IF(B249="","",ROW()-3)</f>
        <v/>
      </c>
      <c r="B249" s="6"/>
      <c r="C249" s="7"/>
      <c r="D249" s="7"/>
      <c r="E249" s="8"/>
      <c r="F249" s="7"/>
      <c r="G249" s="9" t="str">
        <f aca="true">IF(B249="","",IF(F249="完了","✓ 完了",IF(E249="","⚠ 期限未設定",IF(E249&lt;TODAY(),"🔴 超過",IF(E249=TODAY(),"🟡 今日","")))))</f>
        <v/>
      </c>
      <c r="H249" s="6"/>
      <c r="I249" s="6"/>
      <c r="J249" s="8"/>
      <c r="K249" s="8"/>
    </row>
    <row r="250" customFormat="false" ht="15" hidden="false" customHeight="false" outlineLevel="0" collapsed="false">
      <c r="A250" s="5" t="str">
        <f aca="false">IF(B250="","",ROW()-3)</f>
        <v/>
      </c>
      <c r="B250" s="6"/>
      <c r="C250" s="7"/>
      <c r="D250" s="7"/>
      <c r="E250" s="8"/>
      <c r="F250" s="7"/>
      <c r="G250" s="9" t="str">
        <f aca="true">IF(B250="","",IF(F250="完了","✓ 完了",IF(E250="","⚠ 期限未設定",IF(E250&lt;TODAY(),"🔴 超過",IF(E250=TODAY(),"🟡 今日","")))))</f>
        <v/>
      </c>
      <c r="H250" s="6"/>
      <c r="I250" s="6"/>
      <c r="J250" s="8"/>
      <c r="K250" s="8"/>
    </row>
    <row r="251" customFormat="false" ht="15" hidden="false" customHeight="false" outlineLevel="0" collapsed="false">
      <c r="A251" s="5" t="str">
        <f aca="false">IF(B251="","",ROW()-3)</f>
        <v/>
      </c>
      <c r="B251" s="6"/>
      <c r="C251" s="7"/>
      <c r="D251" s="7"/>
      <c r="E251" s="8"/>
      <c r="F251" s="7"/>
      <c r="G251" s="9" t="str">
        <f aca="true">IF(B251="","",IF(F251="完了","✓ 完了",IF(E251="","⚠ 期限未設定",IF(E251&lt;TODAY(),"🔴 超過",IF(E251=TODAY(),"🟡 今日","")))))</f>
        <v/>
      </c>
      <c r="H251" s="6"/>
      <c r="I251" s="6"/>
      <c r="J251" s="8"/>
      <c r="K251" s="8"/>
    </row>
    <row r="252" customFormat="false" ht="15" hidden="false" customHeight="false" outlineLevel="0" collapsed="false">
      <c r="A252" s="5" t="str">
        <f aca="false">IF(B252="","",ROW()-3)</f>
        <v/>
      </c>
      <c r="B252" s="6"/>
      <c r="C252" s="7"/>
      <c r="D252" s="7"/>
      <c r="E252" s="8"/>
      <c r="F252" s="7"/>
      <c r="G252" s="9" t="str">
        <f aca="true">IF(B252="","",IF(F252="完了","✓ 完了",IF(E252="","⚠ 期限未設定",IF(E252&lt;TODAY(),"🔴 超過",IF(E252=TODAY(),"🟡 今日","")))))</f>
        <v/>
      </c>
      <c r="H252" s="6"/>
      <c r="I252" s="6"/>
      <c r="J252" s="8"/>
      <c r="K252" s="8"/>
    </row>
    <row r="253" customFormat="false" ht="15" hidden="false" customHeight="false" outlineLevel="0" collapsed="false">
      <c r="A253" s="5" t="str">
        <f aca="false">IF(B253="","",ROW()-3)</f>
        <v/>
      </c>
      <c r="B253" s="6"/>
      <c r="C253" s="7"/>
      <c r="D253" s="7"/>
      <c r="E253" s="8"/>
      <c r="F253" s="7"/>
      <c r="G253" s="9" t="str">
        <f aca="true">IF(B253="","",IF(F253="完了","✓ 完了",IF(E253="","⚠ 期限未設定",IF(E253&lt;TODAY(),"🔴 超過",IF(E253=TODAY(),"🟡 今日","")))))</f>
        <v/>
      </c>
      <c r="H253" s="6"/>
      <c r="I253" s="6"/>
      <c r="J253" s="8"/>
      <c r="K253" s="8"/>
    </row>
    <row r="254" customFormat="false" ht="15" hidden="false" customHeight="false" outlineLevel="0" collapsed="false">
      <c r="A254" s="5" t="str">
        <f aca="false">IF(B254="","",ROW()-3)</f>
        <v/>
      </c>
      <c r="B254" s="6"/>
      <c r="C254" s="7"/>
      <c r="D254" s="7"/>
      <c r="E254" s="8"/>
      <c r="F254" s="7"/>
      <c r="G254" s="9" t="str">
        <f aca="true">IF(B254="","",IF(F254="完了","✓ 完了",IF(E254="","⚠ 期限未設定",IF(E254&lt;TODAY(),"🔴 超過",IF(E254=TODAY(),"🟡 今日","")))))</f>
        <v/>
      </c>
      <c r="H254" s="6"/>
      <c r="I254" s="6"/>
      <c r="J254" s="8"/>
      <c r="K254" s="8"/>
    </row>
    <row r="255" customFormat="false" ht="15" hidden="false" customHeight="false" outlineLevel="0" collapsed="false">
      <c r="A255" s="5" t="str">
        <f aca="false">IF(B255="","",ROW()-3)</f>
        <v/>
      </c>
      <c r="B255" s="6"/>
      <c r="C255" s="7"/>
      <c r="D255" s="7"/>
      <c r="E255" s="8"/>
      <c r="F255" s="7"/>
      <c r="G255" s="9" t="str">
        <f aca="true">IF(B255="","",IF(F255="完了","✓ 完了",IF(E255="","⚠ 期限未設定",IF(E255&lt;TODAY(),"🔴 超過",IF(E255=TODAY(),"🟡 今日","")))))</f>
        <v/>
      </c>
      <c r="H255" s="6"/>
      <c r="I255" s="6"/>
      <c r="J255" s="8"/>
      <c r="K255" s="8"/>
    </row>
    <row r="256" customFormat="false" ht="15" hidden="false" customHeight="false" outlineLevel="0" collapsed="false">
      <c r="A256" s="5" t="str">
        <f aca="false">IF(B256="","",ROW()-3)</f>
        <v/>
      </c>
      <c r="B256" s="6"/>
      <c r="C256" s="7"/>
      <c r="D256" s="7"/>
      <c r="E256" s="8"/>
      <c r="F256" s="7"/>
      <c r="G256" s="9" t="str">
        <f aca="true">IF(B256="","",IF(F256="完了","✓ 完了",IF(E256="","⚠ 期限未設定",IF(E256&lt;TODAY(),"🔴 超過",IF(E256=TODAY(),"🟡 今日","")))))</f>
        <v/>
      </c>
      <c r="H256" s="6"/>
      <c r="I256" s="6"/>
      <c r="J256" s="8"/>
      <c r="K256" s="8"/>
    </row>
    <row r="257" customFormat="false" ht="15" hidden="false" customHeight="false" outlineLevel="0" collapsed="false">
      <c r="A257" s="5" t="str">
        <f aca="false">IF(B257="","",ROW()-3)</f>
        <v/>
      </c>
      <c r="B257" s="6"/>
      <c r="C257" s="7"/>
      <c r="D257" s="7"/>
      <c r="E257" s="8"/>
      <c r="F257" s="7"/>
      <c r="G257" s="9" t="str">
        <f aca="true">IF(B257="","",IF(F257="完了","✓ 完了",IF(E257="","⚠ 期限未設定",IF(E257&lt;TODAY(),"🔴 超過",IF(E257=TODAY(),"🟡 今日","")))))</f>
        <v/>
      </c>
      <c r="H257" s="6"/>
      <c r="I257" s="6"/>
      <c r="J257" s="8"/>
      <c r="K257" s="8"/>
    </row>
    <row r="258" customFormat="false" ht="15" hidden="false" customHeight="false" outlineLevel="0" collapsed="false">
      <c r="A258" s="5" t="str">
        <f aca="false">IF(B258="","",ROW()-3)</f>
        <v/>
      </c>
      <c r="B258" s="6"/>
      <c r="C258" s="7"/>
      <c r="D258" s="7"/>
      <c r="E258" s="8"/>
      <c r="F258" s="7"/>
      <c r="G258" s="9" t="str">
        <f aca="true">IF(B258="","",IF(F258="完了","✓ 完了",IF(E258="","⚠ 期限未設定",IF(E258&lt;TODAY(),"🔴 超過",IF(E258=TODAY(),"🟡 今日","")))))</f>
        <v/>
      </c>
      <c r="H258" s="6"/>
      <c r="I258" s="6"/>
      <c r="J258" s="8"/>
      <c r="K258" s="8"/>
    </row>
    <row r="259" customFormat="false" ht="15" hidden="false" customHeight="false" outlineLevel="0" collapsed="false">
      <c r="A259" s="5" t="str">
        <f aca="false">IF(B259="","",ROW()-3)</f>
        <v/>
      </c>
      <c r="B259" s="6"/>
      <c r="C259" s="7"/>
      <c r="D259" s="7"/>
      <c r="E259" s="8"/>
      <c r="F259" s="7"/>
      <c r="G259" s="9" t="str">
        <f aca="true">IF(B259="","",IF(F259="完了","✓ 完了",IF(E259="","⚠ 期限未設定",IF(E259&lt;TODAY(),"🔴 超過",IF(E259=TODAY(),"🟡 今日","")))))</f>
        <v/>
      </c>
      <c r="H259" s="6"/>
      <c r="I259" s="6"/>
      <c r="J259" s="8"/>
      <c r="K259" s="8"/>
    </row>
    <row r="260" customFormat="false" ht="15" hidden="false" customHeight="false" outlineLevel="0" collapsed="false">
      <c r="A260" s="5" t="str">
        <f aca="false">IF(B260="","",ROW()-3)</f>
        <v/>
      </c>
      <c r="B260" s="6"/>
      <c r="C260" s="7"/>
      <c r="D260" s="7"/>
      <c r="E260" s="8"/>
      <c r="F260" s="7"/>
      <c r="G260" s="9" t="str">
        <f aca="true">IF(B260="","",IF(F260="完了","✓ 完了",IF(E260="","⚠ 期限未設定",IF(E260&lt;TODAY(),"🔴 超過",IF(E260=TODAY(),"🟡 今日","")))))</f>
        <v/>
      </c>
      <c r="H260" s="6"/>
      <c r="I260" s="6"/>
      <c r="J260" s="8"/>
      <c r="K260" s="8"/>
    </row>
    <row r="261" customFormat="false" ht="15" hidden="false" customHeight="false" outlineLevel="0" collapsed="false">
      <c r="A261" s="5" t="str">
        <f aca="false">IF(B261="","",ROW()-3)</f>
        <v/>
      </c>
      <c r="B261" s="6"/>
      <c r="C261" s="7"/>
      <c r="D261" s="7"/>
      <c r="E261" s="8"/>
      <c r="F261" s="7"/>
      <c r="G261" s="9" t="str">
        <f aca="true">IF(B261="","",IF(F261="完了","✓ 完了",IF(E261="","⚠ 期限未設定",IF(E261&lt;TODAY(),"🔴 超過",IF(E261=TODAY(),"🟡 今日","")))))</f>
        <v/>
      </c>
      <c r="H261" s="6"/>
      <c r="I261" s="6"/>
      <c r="J261" s="8"/>
      <c r="K261" s="8"/>
    </row>
    <row r="262" customFormat="false" ht="15" hidden="false" customHeight="false" outlineLevel="0" collapsed="false">
      <c r="A262" s="5" t="str">
        <f aca="false">IF(B262="","",ROW()-3)</f>
        <v/>
      </c>
      <c r="B262" s="6"/>
      <c r="C262" s="7"/>
      <c r="D262" s="7"/>
      <c r="E262" s="8"/>
      <c r="F262" s="7"/>
      <c r="G262" s="9" t="str">
        <f aca="true">IF(B262="","",IF(F262="完了","✓ 完了",IF(E262="","⚠ 期限未設定",IF(E262&lt;TODAY(),"🔴 超過",IF(E262=TODAY(),"🟡 今日","")))))</f>
        <v/>
      </c>
      <c r="H262" s="6"/>
      <c r="I262" s="6"/>
      <c r="J262" s="8"/>
      <c r="K262" s="8"/>
    </row>
    <row r="263" customFormat="false" ht="15" hidden="false" customHeight="false" outlineLevel="0" collapsed="false">
      <c r="A263" s="5" t="str">
        <f aca="false">IF(B263="","",ROW()-3)</f>
        <v/>
      </c>
      <c r="B263" s="6"/>
      <c r="C263" s="7"/>
      <c r="D263" s="7"/>
      <c r="E263" s="8"/>
      <c r="F263" s="7"/>
      <c r="G263" s="9" t="str">
        <f aca="true">IF(B263="","",IF(F263="完了","✓ 完了",IF(E263="","⚠ 期限未設定",IF(E263&lt;TODAY(),"🔴 超過",IF(E263=TODAY(),"🟡 今日","")))))</f>
        <v/>
      </c>
      <c r="H263" s="6"/>
      <c r="I263" s="6"/>
      <c r="J263" s="8"/>
      <c r="K263" s="8"/>
    </row>
    <row r="264" customFormat="false" ht="15" hidden="false" customHeight="false" outlineLevel="0" collapsed="false">
      <c r="A264" s="5" t="str">
        <f aca="false">IF(B264="","",ROW()-3)</f>
        <v/>
      </c>
      <c r="B264" s="6"/>
      <c r="C264" s="7"/>
      <c r="D264" s="7"/>
      <c r="E264" s="8"/>
      <c r="F264" s="7"/>
      <c r="G264" s="9" t="str">
        <f aca="true">IF(B264="","",IF(F264="完了","✓ 完了",IF(E264="","⚠ 期限未設定",IF(E264&lt;TODAY(),"🔴 超過",IF(E264=TODAY(),"🟡 今日","")))))</f>
        <v/>
      </c>
      <c r="H264" s="6"/>
      <c r="I264" s="6"/>
      <c r="J264" s="8"/>
      <c r="K264" s="8"/>
    </row>
    <row r="265" customFormat="false" ht="15" hidden="false" customHeight="false" outlineLevel="0" collapsed="false">
      <c r="A265" s="5" t="str">
        <f aca="false">IF(B265="","",ROW()-3)</f>
        <v/>
      </c>
      <c r="B265" s="6"/>
      <c r="C265" s="7"/>
      <c r="D265" s="7"/>
      <c r="E265" s="8"/>
      <c r="F265" s="7"/>
      <c r="G265" s="9" t="str">
        <f aca="true">IF(B265="","",IF(F265="完了","✓ 完了",IF(E265="","⚠ 期限未設定",IF(E265&lt;TODAY(),"🔴 超過",IF(E265=TODAY(),"🟡 今日","")))))</f>
        <v/>
      </c>
      <c r="H265" s="6"/>
      <c r="I265" s="6"/>
      <c r="J265" s="8"/>
      <c r="K265" s="8"/>
    </row>
    <row r="266" customFormat="false" ht="15" hidden="false" customHeight="false" outlineLevel="0" collapsed="false">
      <c r="A266" s="5" t="str">
        <f aca="false">IF(B266="","",ROW()-3)</f>
        <v/>
      </c>
      <c r="B266" s="6"/>
      <c r="C266" s="7"/>
      <c r="D266" s="7"/>
      <c r="E266" s="8"/>
      <c r="F266" s="7"/>
      <c r="G266" s="9" t="str">
        <f aca="true">IF(B266="","",IF(F266="完了","✓ 完了",IF(E266="","⚠ 期限未設定",IF(E266&lt;TODAY(),"🔴 超過",IF(E266=TODAY(),"🟡 今日","")))))</f>
        <v/>
      </c>
      <c r="H266" s="6"/>
      <c r="I266" s="6"/>
      <c r="J266" s="8"/>
      <c r="K266" s="8"/>
    </row>
    <row r="267" customFormat="false" ht="15" hidden="false" customHeight="false" outlineLevel="0" collapsed="false">
      <c r="A267" s="5" t="str">
        <f aca="false">IF(B267="","",ROW()-3)</f>
        <v/>
      </c>
      <c r="B267" s="6"/>
      <c r="C267" s="7"/>
      <c r="D267" s="7"/>
      <c r="E267" s="8"/>
      <c r="F267" s="7"/>
      <c r="G267" s="9" t="str">
        <f aca="true">IF(B267="","",IF(F267="完了","✓ 完了",IF(E267="","⚠ 期限未設定",IF(E267&lt;TODAY(),"🔴 超過",IF(E267=TODAY(),"🟡 今日","")))))</f>
        <v/>
      </c>
      <c r="H267" s="6"/>
      <c r="I267" s="6"/>
      <c r="J267" s="8"/>
      <c r="K267" s="8"/>
    </row>
    <row r="268" customFormat="false" ht="15" hidden="false" customHeight="false" outlineLevel="0" collapsed="false">
      <c r="A268" s="5" t="str">
        <f aca="false">IF(B268="","",ROW()-3)</f>
        <v/>
      </c>
      <c r="B268" s="6"/>
      <c r="C268" s="7"/>
      <c r="D268" s="7"/>
      <c r="E268" s="8"/>
      <c r="F268" s="7"/>
      <c r="G268" s="9" t="str">
        <f aca="true">IF(B268="","",IF(F268="完了","✓ 完了",IF(E268="","⚠ 期限未設定",IF(E268&lt;TODAY(),"🔴 超過",IF(E268=TODAY(),"🟡 今日","")))))</f>
        <v/>
      </c>
      <c r="H268" s="6"/>
      <c r="I268" s="6"/>
      <c r="J268" s="8"/>
      <c r="K268" s="8"/>
    </row>
    <row r="269" customFormat="false" ht="15" hidden="false" customHeight="false" outlineLevel="0" collapsed="false">
      <c r="A269" s="5" t="str">
        <f aca="false">IF(B269="","",ROW()-3)</f>
        <v/>
      </c>
      <c r="B269" s="6"/>
      <c r="C269" s="7"/>
      <c r="D269" s="7"/>
      <c r="E269" s="8"/>
      <c r="F269" s="7"/>
      <c r="G269" s="9" t="str">
        <f aca="true">IF(B269="","",IF(F269="完了","✓ 完了",IF(E269="","⚠ 期限未設定",IF(E269&lt;TODAY(),"🔴 超過",IF(E269=TODAY(),"🟡 今日","")))))</f>
        <v/>
      </c>
      <c r="H269" s="6"/>
      <c r="I269" s="6"/>
      <c r="J269" s="8"/>
      <c r="K269" s="8"/>
    </row>
    <row r="270" customFormat="false" ht="15" hidden="false" customHeight="false" outlineLevel="0" collapsed="false">
      <c r="A270" s="5" t="str">
        <f aca="false">IF(B270="","",ROW()-3)</f>
        <v/>
      </c>
      <c r="B270" s="6"/>
      <c r="C270" s="7"/>
      <c r="D270" s="7"/>
      <c r="E270" s="8"/>
      <c r="F270" s="7"/>
      <c r="G270" s="9" t="str">
        <f aca="true">IF(B270="","",IF(F270="完了","✓ 完了",IF(E270="","⚠ 期限未設定",IF(E270&lt;TODAY(),"🔴 超過",IF(E270=TODAY(),"🟡 今日","")))))</f>
        <v/>
      </c>
      <c r="H270" s="6"/>
      <c r="I270" s="6"/>
      <c r="J270" s="8"/>
      <c r="K270" s="8"/>
    </row>
    <row r="271" customFormat="false" ht="15" hidden="false" customHeight="false" outlineLevel="0" collapsed="false">
      <c r="A271" s="5" t="str">
        <f aca="false">IF(B271="","",ROW()-3)</f>
        <v/>
      </c>
      <c r="B271" s="6"/>
      <c r="C271" s="7"/>
      <c r="D271" s="7"/>
      <c r="E271" s="8"/>
      <c r="F271" s="7"/>
      <c r="G271" s="9" t="str">
        <f aca="true">IF(B271="","",IF(F271="完了","✓ 完了",IF(E271="","⚠ 期限未設定",IF(E271&lt;TODAY(),"🔴 超過",IF(E271=TODAY(),"🟡 今日","")))))</f>
        <v/>
      </c>
      <c r="H271" s="6"/>
      <c r="I271" s="6"/>
      <c r="J271" s="8"/>
      <c r="K271" s="8"/>
    </row>
    <row r="272" customFormat="false" ht="15" hidden="false" customHeight="false" outlineLevel="0" collapsed="false">
      <c r="A272" s="5" t="str">
        <f aca="false">IF(B272="","",ROW()-3)</f>
        <v/>
      </c>
      <c r="B272" s="6"/>
      <c r="C272" s="7"/>
      <c r="D272" s="7"/>
      <c r="E272" s="8"/>
      <c r="F272" s="7"/>
      <c r="G272" s="9" t="str">
        <f aca="true">IF(B272="","",IF(F272="完了","✓ 完了",IF(E272="","⚠ 期限未設定",IF(E272&lt;TODAY(),"🔴 超過",IF(E272=TODAY(),"🟡 今日","")))))</f>
        <v/>
      </c>
      <c r="H272" s="6"/>
      <c r="I272" s="6"/>
      <c r="J272" s="8"/>
      <c r="K272" s="8"/>
    </row>
    <row r="273" customFormat="false" ht="15" hidden="false" customHeight="false" outlineLevel="0" collapsed="false">
      <c r="A273" s="5" t="str">
        <f aca="false">IF(B273="","",ROW()-3)</f>
        <v/>
      </c>
      <c r="B273" s="6"/>
      <c r="C273" s="7"/>
      <c r="D273" s="7"/>
      <c r="E273" s="8"/>
      <c r="F273" s="7"/>
      <c r="G273" s="9" t="str">
        <f aca="true">IF(B273="","",IF(F273="完了","✓ 完了",IF(E273="","⚠ 期限未設定",IF(E273&lt;TODAY(),"🔴 超過",IF(E273=TODAY(),"🟡 今日","")))))</f>
        <v/>
      </c>
      <c r="H273" s="6"/>
      <c r="I273" s="6"/>
      <c r="J273" s="8"/>
      <c r="K273" s="8"/>
    </row>
    <row r="274" customFormat="false" ht="15" hidden="false" customHeight="false" outlineLevel="0" collapsed="false">
      <c r="A274" s="5" t="str">
        <f aca="false">IF(B274="","",ROW()-3)</f>
        <v/>
      </c>
      <c r="B274" s="6"/>
      <c r="C274" s="7"/>
      <c r="D274" s="7"/>
      <c r="E274" s="8"/>
      <c r="F274" s="7"/>
      <c r="G274" s="9" t="str">
        <f aca="true">IF(B274="","",IF(F274="完了","✓ 完了",IF(E274="","⚠ 期限未設定",IF(E274&lt;TODAY(),"🔴 超過",IF(E274=TODAY(),"🟡 今日","")))))</f>
        <v/>
      </c>
      <c r="H274" s="6"/>
      <c r="I274" s="6"/>
      <c r="J274" s="8"/>
      <c r="K274" s="8"/>
    </row>
    <row r="275" customFormat="false" ht="15" hidden="false" customHeight="false" outlineLevel="0" collapsed="false">
      <c r="A275" s="5" t="str">
        <f aca="false">IF(B275="","",ROW()-3)</f>
        <v/>
      </c>
      <c r="B275" s="6"/>
      <c r="C275" s="7"/>
      <c r="D275" s="7"/>
      <c r="E275" s="8"/>
      <c r="F275" s="7"/>
      <c r="G275" s="9" t="str">
        <f aca="true">IF(B275="","",IF(F275="完了","✓ 完了",IF(E275="","⚠ 期限未設定",IF(E275&lt;TODAY(),"🔴 超過",IF(E275=TODAY(),"🟡 今日","")))))</f>
        <v/>
      </c>
      <c r="H275" s="6"/>
      <c r="I275" s="6"/>
      <c r="J275" s="8"/>
      <c r="K275" s="8"/>
    </row>
    <row r="276" customFormat="false" ht="15" hidden="false" customHeight="false" outlineLevel="0" collapsed="false">
      <c r="A276" s="5" t="str">
        <f aca="false">IF(B276="","",ROW()-3)</f>
        <v/>
      </c>
      <c r="B276" s="6"/>
      <c r="C276" s="7"/>
      <c r="D276" s="7"/>
      <c r="E276" s="8"/>
      <c r="F276" s="7"/>
      <c r="G276" s="9" t="str">
        <f aca="true">IF(B276="","",IF(F276="完了","✓ 完了",IF(E276="","⚠ 期限未設定",IF(E276&lt;TODAY(),"🔴 超過",IF(E276=TODAY(),"🟡 今日","")))))</f>
        <v/>
      </c>
      <c r="H276" s="6"/>
      <c r="I276" s="6"/>
      <c r="J276" s="8"/>
      <c r="K276" s="8"/>
    </row>
    <row r="277" customFormat="false" ht="15" hidden="false" customHeight="false" outlineLevel="0" collapsed="false">
      <c r="A277" s="5" t="str">
        <f aca="false">IF(B277="","",ROW()-3)</f>
        <v/>
      </c>
      <c r="B277" s="6"/>
      <c r="C277" s="7"/>
      <c r="D277" s="7"/>
      <c r="E277" s="8"/>
      <c r="F277" s="7"/>
      <c r="G277" s="9" t="str">
        <f aca="true">IF(B277="","",IF(F277="完了","✓ 完了",IF(E277="","⚠ 期限未設定",IF(E277&lt;TODAY(),"🔴 超過",IF(E277=TODAY(),"🟡 今日","")))))</f>
        <v/>
      </c>
      <c r="H277" s="6"/>
      <c r="I277" s="6"/>
      <c r="J277" s="8"/>
      <c r="K277" s="8"/>
    </row>
    <row r="278" customFormat="false" ht="15" hidden="false" customHeight="false" outlineLevel="0" collapsed="false">
      <c r="A278" s="5" t="str">
        <f aca="false">IF(B278="","",ROW()-3)</f>
        <v/>
      </c>
      <c r="B278" s="6"/>
      <c r="C278" s="7"/>
      <c r="D278" s="7"/>
      <c r="E278" s="8"/>
      <c r="F278" s="7"/>
      <c r="G278" s="9" t="str">
        <f aca="true">IF(B278="","",IF(F278="完了","✓ 完了",IF(E278="","⚠ 期限未設定",IF(E278&lt;TODAY(),"🔴 超過",IF(E278=TODAY(),"🟡 今日","")))))</f>
        <v/>
      </c>
      <c r="H278" s="6"/>
      <c r="I278" s="6"/>
      <c r="J278" s="8"/>
      <c r="K278" s="8"/>
    </row>
    <row r="279" customFormat="false" ht="15" hidden="false" customHeight="false" outlineLevel="0" collapsed="false">
      <c r="A279" s="5" t="str">
        <f aca="false">IF(B279="","",ROW()-3)</f>
        <v/>
      </c>
      <c r="B279" s="6"/>
      <c r="C279" s="7"/>
      <c r="D279" s="7"/>
      <c r="E279" s="8"/>
      <c r="F279" s="7"/>
      <c r="G279" s="9" t="str">
        <f aca="true">IF(B279="","",IF(F279="完了","✓ 完了",IF(E279="","⚠ 期限未設定",IF(E279&lt;TODAY(),"🔴 超過",IF(E279=TODAY(),"🟡 今日","")))))</f>
        <v/>
      </c>
      <c r="H279" s="6"/>
      <c r="I279" s="6"/>
      <c r="J279" s="8"/>
      <c r="K279" s="8"/>
    </row>
    <row r="280" customFormat="false" ht="15" hidden="false" customHeight="false" outlineLevel="0" collapsed="false">
      <c r="A280" s="5" t="str">
        <f aca="false">IF(B280="","",ROW()-3)</f>
        <v/>
      </c>
      <c r="B280" s="6"/>
      <c r="C280" s="7"/>
      <c r="D280" s="7"/>
      <c r="E280" s="8"/>
      <c r="F280" s="7"/>
      <c r="G280" s="9" t="str">
        <f aca="true">IF(B280="","",IF(F280="完了","✓ 完了",IF(E280="","⚠ 期限未設定",IF(E280&lt;TODAY(),"🔴 超過",IF(E280=TODAY(),"🟡 今日","")))))</f>
        <v/>
      </c>
      <c r="H280" s="6"/>
      <c r="I280" s="6"/>
      <c r="J280" s="8"/>
      <c r="K280" s="8"/>
    </row>
    <row r="281" customFormat="false" ht="15" hidden="false" customHeight="false" outlineLevel="0" collapsed="false">
      <c r="A281" s="5" t="str">
        <f aca="false">IF(B281="","",ROW()-3)</f>
        <v/>
      </c>
      <c r="B281" s="6"/>
      <c r="C281" s="7"/>
      <c r="D281" s="7"/>
      <c r="E281" s="8"/>
      <c r="F281" s="7"/>
      <c r="G281" s="9" t="str">
        <f aca="true">IF(B281="","",IF(F281="完了","✓ 完了",IF(E281="","⚠ 期限未設定",IF(E281&lt;TODAY(),"🔴 超過",IF(E281=TODAY(),"🟡 今日","")))))</f>
        <v/>
      </c>
      <c r="H281" s="6"/>
      <c r="I281" s="6"/>
      <c r="J281" s="8"/>
      <c r="K281" s="8"/>
    </row>
    <row r="282" customFormat="false" ht="15" hidden="false" customHeight="false" outlineLevel="0" collapsed="false">
      <c r="A282" s="5" t="str">
        <f aca="false">IF(B282="","",ROW()-3)</f>
        <v/>
      </c>
      <c r="B282" s="6"/>
      <c r="C282" s="7"/>
      <c r="D282" s="7"/>
      <c r="E282" s="8"/>
      <c r="F282" s="7"/>
      <c r="G282" s="9" t="str">
        <f aca="true">IF(B282="","",IF(F282="完了","✓ 完了",IF(E282="","⚠ 期限未設定",IF(E282&lt;TODAY(),"🔴 超過",IF(E282=TODAY(),"🟡 今日","")))))</f>
        <v/>
      </c>
      <c r="H282" s="6"/>
      <c r="I282" s="6"/>
      <c r="J282" s="8"/>
      <c r="K282" s="8"/>
    </row>
    <row r="283" customFormat="false" ht="15" hidden="false" customHeight="false" outlineLevel="0" collapsed="false">
      <c r="A283" s="5" t="str">
        <f aca="false">IF(B283="","",ROW()-3)</f>
        <v/>
      </c>
      <c r="B283" s="6"/>
      <c r="C283" s="7"/>
      <c r="D283" s="7"/>
      <c r="E283" s="8"/>
      <c r="F283" s="7"/>
      <c r="G283" s="9" t="str">
        <f aca="true">IF(B283="","",IF(F283="完了","✓ 完了",IF(E283="","⚠ 期限未設定",IF(E283&lt;TODAY(),"🔴 超過",IF(E283=TODAY(),"🟡 今日","")))))</f>
        <v/>
      </c>
      <c r="H283" s="6"/>
      <c r="I283" s="6"/>
      <c r="J283" s="8"/>
      <c r="K283" s="8"/>
    </row>
    <row r="284" customFormat="false" ht="15" hidden="false" customHeight="false" outlineLevel="0" collapsed="false">
      <c r="A284" s="5" t="str">
        <f aca="false">IF(B284="","",ROW()-3)</f>
        <v/>
      </c>
      <c r="B284" s="6"/>
      <c r="C284" s="7"/>
      <c r="D284" s="7"/>
      <c r="E284" s="8"/>
      <c r="F284" s="7"/>
      <c r="G284" s="9" t="str">
        <f aca="true">IF(B284="","",IF(F284="完了","✓ 完了",IF(E284="","⚠ 期限未設定",IF(E284&lt;TODAY(),"🔴 超過",IF(E284=TODAY(),"🟡 今日","")))))</f>
        <v/>
      </c>
      <c r="H284" s="6"/>
      <c r="I284" s="6"/>
      <c r="J284" s="8"/>
      <c r="K284" s="8"/>
    </row>
    <row r="285" customFormat="false" ht="15" hidden="false" customHeight="false" outlineLevel="0" collapsed="false">
      <c r="A285" s="5" t="str">
        <f aca="false">IF(B285="","",ROW()-3)</f>
        <v/>
      </c>
      <c r="B285" s="6"/>
      <c r="C285" s="7"/>
      <c r="D285" s="7"/>
      <c r="E285" s="8"/>
      <c r="F285" s="7"/>
      <c r="G285" s="9" t="str">
        <f aca="true">IF(B285="","",IF(F285="完了","✓ 完了",IF(E285="","⚠ 期限未設定",IF(E285&lt;TODAY(),"🔴 超過",IF(E285=TODAY(),"🟡 今日","")))))</f>
        <v/>
      </c>
      <c r="H285" s="6"/>
      <c r="I285" s="6"/>
      <c r="J285" s="8"/>
      <c r="K285" s="8"/>
    </row>
    <row r="286" customFormat="false" ht="15" hidden="false" customHeight="false" outlineLevel="0" collapsed="false">
      <c r="A286" s="5" t="str">
        <f aca="false">IF(B286="","",ROW()-3)</f>
        <v/>
      </c>
      <c r="B286" s="6"/>
      <c r="C286" s="7"/>
      <c r="D286" s="7"/>
      <c r="E286" s="8"/>
      <c r="F286" s="7"/>
      <c r="G286" s="9" t="str">
        <f aca="true">IF(B286="","",IF(F286="完了","✓ 完了",IF(E286="","⚠ 期限未設定",IF(E286&lt;TODAY(),"🔴 超過",IF(E286=TODAY(),"🟡 今日","")))))</f>
        <v/>
      </c>
      <c r="H286" s="6"/>
      <c r="I286" s="6"/>
      <c r="J286" s="8"/>
      <c r="K286" s="8"/>
    </row>
    <row r="287" customFormat="false" ht="15" hidden="false" customHeight="false" outlineLevel="0" collapsed="false">
      <c r="A287" s="5" t="str">
        <f aca="false">IF(B287="","",ROW()-3)</f>
        <v/>
      </c>
      <c r="B287" s="6"/>
      <c r="C287" s="7"/>
      <c r="D287" s="7"/>
      <c r="E287" s="8"/>
      <c r="F287" s="7"/>
      <c r="G287" s="9" t="str">
        <f aca="true">IF(B287="","",IF(F287="完了","✓ 完了",IF(E287="","⚠ 期限未設定",IF(E287&lt;TODAY(),"🔴 超過",IF(E287=TODAY(),"🟡 今日","")))))</f>
        <v/>
      </c>
      <c r="H287" s="6"/>
      <c r="I287" s="6"/>
      <c r="J287" s="8"/>
      <c r="K287" s="8"/>
    </row>
    <row r="288" customFormat="false" ht="15" hidden="false" customHeight="false" outlineLevel="0" collapsed="false">
      <c r="A288" s="5" t="str">
        <f aca="false">IF(B288="","",ROW()-3)</f>
        <v/>
      </c>
      <c r="B288" s="6"/>
      <c r="C288" s="7"/>
      <c r="D288" s="7"/>
      <c r="E288" s="8"/>
      <c r="F288" s="7"/>
      <c r="G288" s="9" t="str">
        <f aca="true">IF(B288="","",IF(F288="完了","✓ 完了",IF(E288="","⚠ 期限未設定",IF(E288&lt;TODAY(),"🔴 超過",IF(E288=TODAY(),"🟡 今日","")))))</f>
        <v/>
      </c>
      <c r="H288" s="6"/>
      <c r="I288" s="6"/>
      <c r="J288" s="8"/>
      <c r="K288" s="8"/>
    </row>
    <row r="289" customFormat="false" ht="15" hidden="false" customHeight="false" outlineLevel="0" collapsed="false">
      <c r="A289" s="5" t="str">
        <f aca="false">IF(B289="","",ROW()-3)</f>
        <v/>
      </c>
      <c r="B289" s="6"/>
      <c r="C289" s="7"/>
      <c r="D289" s="7"/>
      <c r="E289" s="8"/>
      <c r="F289" s="7"/>
      <c r="G289" s="9" t="str">
        <f aca="true">IF(B289="","",IF(F289="完了","✓ 完了",IF(E289="","⚠ 期限未設定",IF(E289&lt;TODAY(),"🔴 超過",IF(E289=TODAY(),"🟡 今日","")))))</f>
        <v/>
      </c>
      <c r="H289" s="6"/>
      <c r="I289" s="6"/>
      <c r="J289" s="8"/>
      <c r="K289" s="8"/>
    </row>
    <row r="290" customFormat="false" ht="15" hidden="false" customHeight="false" outlineLevel="0" collapsed="false">
      <c r="A290" s="5" t="str">
        <f aca="false">IF(B290="","",ROW()-3)</f>
        <v/>
      </c>
      <c r="B290" s="6"/>
      <c r="C290" s="7"/>
      <c r="D290" s="7"/>
      <c r="E290" s="8"/>
      <c r="F290" s="7"/>
      <c r="G290" s="9" t="str">
        <f aca="true">IF(B290="","",IF(F290="完了","✓ 完了",IF(E290="","⚠ 期限未設定",IF(E290&lt;TODAY(),"🔴 超過",IF(E290=TODAY(),"🟡 今日","")))))</f>
        <v/>
      </c>
      <c r="H290" s="6"/>
      <c r="I290" s="6"/>
      <c r="J290" s="8"/>
      <c r="K290" s="8"/>
    </row>
    <row r="291" customFormat="false" ht="15" hidden="false" customHeight="false" outlineLevel="0" collapsed="false">
      <c r="A291" s="5" t="str">
        <f aca="false">IF(B291="","",ROW()-3)</f>
        <v/>
      </c>
      <c r="B291" s="6"/>
      <c r="C291" s="7"/>
      <c r="D291" s="7"/>
      <c r="E291" s="8"/>
      <c r="F291" s="7"/>
      <c r="G291" s="9" t="str">
        <f aca="true">IF(B291="","",IF(F291="完了","✓ 完了",IF(E291="","⚠ 期限未設定",IF(E291&lt;TODAY(),"🔴 超過",IF(E291=TODAY(),"🟡 今日","")))))</f>
        <v/>
      </c>
      <c r="H291" s="6"/>
      <c r="I291" s="6"/>
      <c r="J291" s="8"/>
      <c r="K291" s="8"/>
    </row>
    <row r="292" customFormat="false" ht="15" hidden="false" customHeight="false" outlineLevel="0" collapsed="false">
      <c r="A292" s="5" t="str">
        <f aca="false">IF(B292="","",ROW()-3)</f>
        <v/>
      </c>
      <c r="B292" s="6"/>
      <c r="C292" s="7"/>
      <c r="D292" s="7"/>
      <c r="E292" s="8"/>
      <c r="F292" s="7"/>
      <c r="G292" s="9" t="str">
        <f aca="true">IF(B292="","",IF(F292="完了","✓ 完了",IF(E292="","⚠ 期限未設定",IF(E292&lt;TODAY(),"🔴 超過",IF(E292=TODAY(),"🟡 今日","")))))</f>
        <v/>
      </c>
      <c r="H292" s="6"/>
      <c r="I292" s="6"/>
      <c r="J292" s="8"/>
      <c r="K292" s="8"/>
    </row>
    <row r="293" customFormat="false" ht="15" hidden="false" customHeight="false" outlineLevel="0" collapsed="false">
      <c r="A293" s="5" t="str">
        <f aca="false">IF(B293="","",ROW()-3)</f>
        <v/>
      </c>
      <c r="B293" s="6"/>
      <c r="C293" s="7"/>
      <c r="D293" s="7"/>
      <c r="E293" s="8"/>
      <c r="F293" s="7"/>
      <c r="G293" s="9" t="str">
        <f aca="true">IF(B293="","",IF(F293="完了","✓ 完了",IF(E293="","⚠ 期限未設定",IF(E293&lt;TODAY(),"🔴 超過",IF(E293=TODAY(),"🟡 今日","")))))</f>
        <v/>
      </c>
      <c r="H293" s="6"/>
      <c r="I293" s="6"/>
      <c r="J293" s="8"/>
      <c r="K293" s="8"/>
    </row>
    <row r="294" customFormat="false" ht="15" hidden="false" customHeight="false" outlineLevel="0" collapsed="false">
      <c r="A294" s="5" t="str">
        <f aca="false">IF(B294="","",ROW()-3)</f>
        <v/>
      </c>
      <c r="B294" s="6"/>
      <c r="C294" s="7"/>
      <c r="D294" s="7"/>
      <c r="E294" s="8"/>
      <c r="F294" s="7"/>
      <c r="G294" s="9" t="str">
        <f aca="true">IF(B294="","",IF(F294="完了","✓ 完了",IF(E294="","⚠ 期限未設定",IF(E294&lt;TODAY(),"🔴 超過",IF(E294=TODAY(),"🟡 今日","")))))</f>
        <v/>
      </c>
      <c r="H294" s="6"/>
      <c r="I294" s="6"/>
      <c r="J294" s="8"/>
      <c r="K294" s="8"/>
    </row>
    <row r="295" customFormat="false" ht="15" hidden="false" customHeight="false" outlineLevel="0" collapsed="false">
      <c r="A295" s="5" t="str">
        <f aca="false">IF(B295="","",ROW()-3)</f>
        <v/>
      </c>
      <c r="B295" s="6"/>
      <c r="C295" s="7"/>
      <c r="D295" s="7"/>
      <c r="E295" s="8"/>
      <c r="F295" s="7"/>
      <c r="G295" s="9" t="str">
        <f aca="true">IF(B295="","",IF(F295="完了","✓ 完了",IF(E295="","⚠ 期限未設定",IF(E295&lt;TODAY(),"🔴 超過",IF(E295=TODAY(),"🟡 今日","")))))</f>
        <v/>
      </c>
      <c r="H295" s="6"/>
      <c r="I295" s="6"/>
      <c r="J295" s="8"/>
      <c r="K295" s="8"/>
    </row>
    <row r="296" customFormat="false" ht="15" hidden="false" customHeight="false" outlineLevel="0" collapsed="false">
      <c r="A296" s="5" t="str">
        <f aca="false">IF(B296="","",ROW()-3)</f>
        <v/>
      </c>
      <c r="B296" s="6"/>
      <c r="C296" s="7"/>
      <c r="D296" s="7"/>
      <c r="E296" s="8"/>
      <c r="F296" s="7"/>
      <c r="G296" s="9" t="str">
        <f aca="true">IF(B296="","",IF(F296="完了","✓ 完了",IF(E296="","⚠ 期限未設定",IF(E296&lt;TODAY(),"🔴 超過",IF(E296=TODAY(),"🟡 今日","")))))</f>
        <v/>
      </c>
      <c r="H296" s="6"/>
      <c r="I296" s="6"/>
      <c r="J296" s="8"/>
      <c r="K296" s="8"/>
    </row>
    <row r="297" customFormat="false" ht="15" hidden="false" customHeight="false" outlineLevel="0" collapsed="false">
      <c r="A297" s="5" t="str">
        <f aca="false">IF(B297="","",ROW()-3)</f>
        <v/>
      </c>
      <c r="B297" s="6"/>
      <c r="C297" s="7"/>
      <c r="D297" s="7"/>
      <c r="E297" s="8"/>
      <c r="F297" s="7"/>
      <c r="G297" s="9" t="str">
        <f aca="true">IF(B297="","",IF(F297="完了","✓ 完了",IF(E297="","⚠ 期限未設定",IF(E297&lt;TODAY(),"🔴 超過",IF(E297=TODAY(),"🟡 今日","")))))</f>
        <v/>
      </c>
      <c r="H297" s="6"/>
      <c r="I297" s="6"/>
      <c r="J297" s="8"/>
      <c r="K297" s="8"/>
    </row>
    <row r="298" customFormat="false" ht="15" hidden="false" customHeight="false" outlineLevel="0" collapsed="false">
      <c r="A298" s="5" t="str">
        <f aca="false">IF(B298="","",ROW()-3)</f>
        <v/>
      </c>
      <c r="B298" s="6"/>
      <c r="C298" s="7"/>
      <c r="D298" s="7"/>
      <c r="E298" s="8"/>
      <c r="F298" s="7"/>
      <c r="G298" s="9" t="str">
        <f aca="true">IF(B298="","",IF(F298="完了","✓ 完了",IF(E298="","⚠ 期限未設定",IF(E298&lt;TODAY(),"🔴 超過",IF(E298=TODAY(),"🟡 今日","")))))</f>
        <v/>
      </c>
      <c r="H298" s="6"/>
      <c r="I298" s="6"/>
      <c r="J298" s="8"/>
      <c r="K298" s="8"/>
    </row>
    <row r="299" customFormat="false" ht="15" hidden="false" customHeight="false" outlineLevel="0" collapsed="false">
      <c r="A299" s="5" t="str">
        <f aca="false">IF(B299="","",ROW()-3)</f>
        <v/>
      </c>
      <c r="B299" s="6"/>
      <c r="C299" s="7"/>
      <c r="D299" s="7"/>
      <c r="E299" s="8"/>
      <c r="F299" s="7"/>
      <c r="G299" s="9" t="str">
        <f aca="true">IF(B299="","",IF(F299="完了","✓ 完了",IF(E299="","⚠ 期限未設定",IF(E299&lt;TODAY(),"🔴 超過",IF(E299=TODAY(),"🟡 今日","")))))</f>
        <v/>
      </c>
      <c r="H299" s="6"/>
      <c r="I299" s="6"/>
      <c r="J299" s="8"/>
      <c r="K299" s="8"/>
    </row>
    <row r="300" customFormat="false" ht="15" hidden="false" customHeight="false" outlineLevel="0" collapsed="false">
      <c r="A300" s="5" t="str">
        <f aca="false">IF(B300="","",ROW()-3)</f>
        <v/>
      </c>
      <c r="B300" s="6"/>
      <c r="C300" s="7"/>
      <c r="D300" s="7"/>
      <c r="E300" s="8"/>
      <c r="F300" s="7"/>
      <c r="G300" s="9" t="str">
        <f aca="true">IF(B300="","",IF(F300="完了","✓ 完了",IF(E300="","⚠ 期限未設定",IF(E300&lt;TODAY(),"🔴 超過",IF(E300=TODAY(),"🟡 今日","")))))</f>
        <v/>
      </c>
      <c r="H300" s="6"/>
      <c r="I300" s="6"/>
      <c r="J300" s="8"/>
      <c r="K300" s="8"/>
    </row>
    <row r="301" customFormat="false" ht="15" hidden="false" customHeight="false" outlineLevel="0" collapsed="false">
      <c r="A301" s="5" t="str">
        <f aca="false">IF(B301="","",ROW()-3)</f>
        <v/>
      </c>
      <c r="B301" s="6"/>
      <c r="C301" s="7"/>
      <c r="D301" s="7"/>
      <c r="E301" s="8"/>
      <c r="F301" s="7"/>
      <c r="G301" s="9" t="str">
        <f aca="true">IF(B301="","",IF(F301="完了","✓ 完了",IF(E301="","⚠ 期限未設定",IF(E301&lt;TODAY(),"🔴 超過",IF(E301=TODAY(),"🟡 今日","")))))</f>
        <v/>
      </c>
      <c r="H301" s="6"/>
      <c r="I301" s="6"/>
      <c r="J301" s="8"/>
      <c r="K301" s="8"/>
    </row>
    <row r="302" customFormat="false" ht="15" hidden="false" customHeight="false" outlineLevel="0" collapsed="false">
      <c r="A302" s="5" t="str">
        <f aca="false">IF(B302="","",ROW()-3)</f>
        <v/>
      </c>
      <c r="B302" s="6"/>
      <c r="C302" s="7"/>
      <c r="D302" s="7"/>
      <c r="E302" s="8"/>
      <c r="F302" s="7"/>
      <c r="G302" s="9" t="str">
        <f aca="true">IF(B302="","",IF(F302="完了","✓ 完了",IF(E302="","⚠ 期限未設定",IF(E302&lt;TODAY(),"🔴 超過",IF(E302=TODAY(),"🟡 今日","")))))</f>
        <v/>
      </c>
      <c r="H302" s="6"/>
      <c r="I302" s="6"/>
      <c r="J302" s="8"/>
      <c r="K302" s="8"/>
    </row>
    <row r="303" customFormat="false" ht="15" hidden="false" customHeight="false" outlineLevel="0" collapsed="false">
      <c r="A303" s="5" t="str">
        <f aca="false">IF(B303="","",ROW()-3)</f>
        <v/>
      </c>
      <c r="B303" s="6"/>
      <c r="C303" s="7"/>
      <c r="D303" s="7"/>
      <c r="E303" s="8"/>
      <c r="F303" s="7"/>
      <c r="G303" s="9" t="str">
        <f aca="true">IF(B303="","",IF(F303="完了","✓ 完了",IF(E303="","⚠ 期限未設定",IF(E303&lt;TODAY(),"🔴 超過",IF(E303=TODAY(),"🟡 今日","")))))</f>
        <v/>
      </c>
      <c r="H303" s="6"/>
      <c r="I303" s="6"/>
      <c r="J303" s="8"/>
      <c r="K303" s="8"/>
    </row>
    <row r="304" customFormat="false" ht="15" hidden="false" customHeight="false" outlineLevel="0" collapsed="false">
      <c r="A304" s="5" t="str">
        <f aca="false">IF(B304="","",ROW()-3)</f>
        <v/>
      </c>
      <c r="B304" s="6"/>
      <c r="C304" s="7"/>
      <c r="D304" s="7"/>
      <c r="E304" s="8"/>
      <c r="F304" s="7"/>
      <c r="G304" s="9" t="str">
        <f aca="true">IF(B304="","",IF(F304="完了","✓ 完了",IF(E304="","⚠ 期限未設定",IF(E304&lt;TODAY(),"🔴 超過",IF(E304=TODAY(),"🟡 今日","")))))</f>
        <v/>
      </c>
      <c r="H304" s="6"/>
      <c r="I304" s="6"/>
      <c r="J304" s="8"/>
      <c r="K304" s="8"/>
    </row>
    <row r="305" customFormat="false" ht="15" hidden="false" customHeight="false" outlineLevel="0" collapsed="false">
      <c r="A305" s="5" t="str">
        <f aca="false">IF(B305="","",ROW()-3)</f>
        <v/>
      </c>
      <c r="B305" s="6"/>
      <c r="C305" s="7"/>
      <c r="D305" s="7"/>
      <c r="E305" s="8"/>
      <c r="F305" s="7"/>
      <c r="G305" s="9" t="str">
        <f aca="true">IF(B305="","",IF(F305="完了","✓ 完了",IF(E305="","⚠ 期限未設定",IF(E305&lt;TODAY(),"🔴 超過",IF(E305=TODAY(),"🟡 今日","")))))</f>
        <v/>
      </c>
      <c r="H305" s="6"/>
      <c r="I305" s="6"/>
      <c r="J305" s="8"/>
      <c r="K305" s="8"/>
    </row>
    <row r="306" customFormat="false" ht="15" hidden="false" customHeight="false" outlineLevel="0" collapsed="false">
      <c r="A306" s="5" t="str">
        <f aca="false">IF(B306="","",ROW()-3)</f>
        <v/>
      </c>
      <c r="B306" s="6"/>
      <c r="C306" s="7"/>
      <c r="D306" s="7"/>
      <c r="E306" s="8"/>
      <c r="F306" s="7"/>
      <c r="G306" s="9" t="str">
        <f aca="true">IF(B306="","",IF(F306="完了","✓ 完了",IF(E306="","⚠ 期限未設定",IF(E306&lt;TODAY(),"🔴 超過",IF(E306=TODAY(),"🟡 今日","")))))</f>
        <v/>
      </c>
      <c r="H306" s="6"/>
      <c r="I306" s="6"/>
      <c r="J306" s="8"/>
      <c r="K306" s="8"/>
    </row>
    <row r="307" customFormat="false" ht="15" hidden="false" customHeight="false" outlineLevel="0" collapsed="false">
      <c r="A307" s="5" t="str">
        <f aca="false">IF(B307="","",ROW()-3)</f>
        <v/>
      </c>
      <c r="B307" s="6"/>
      <c r="C307" s="7"/>
      <c r="D307" s="7"/>
      <c r="E307" s="8"/>
      <c r="F307" s="7"/>
      <c r="G307" s="9" t="str">
        <f aca="true">IF(B307="","",IF(F307="完了","✓ 完了",IF(E307="","⚠ 期限未設定",IF(E307&lt;TODAY(),"🔴 超過",IF(E307=TODAY(),"🟡 今日","")))))</f>
        <v/>
      </c>
      <c r="H307" s="6"/>
      <c r="I307" s="6"/>
      <c r="J307" s="8"/>
      <c r="K307" s="8"/>
    </row>
    <row r="308" customFormat="false" ht="15" hidden="false" customHeight="false" outlineLevel="0" collapsed="false">
      <c r="A308" s="5" t="str">
        <f aca="false">IF(B308="","",ROW()-3)</f>
        <v/>
      </c>
      <c r="B308" s="6"/>
      <c r="C308" s="7"/>
      <c r="D308" s="7"/>
      <c r="E308" s="8"/>
      <c r="F308" s="7"/>
      <c r="G308" s="9" t="str">
        <f aca="true">IF(B308="","",IF(F308="完了","✓ 完了",IF(E308="","⚠ 期限未設定",IF(E308&lt;TODAY(),"🔴 超過",IF(E308=TODAY(),"🟡 今日","")))))</f>
        <v/>
      </c>
      <c r="H308" s="6"/>
      <c r="I308" s="6"/>
      <c r="J308" s="8"/>
      <c r="K308" s="8"/>
    </row>
    <row r="309" customFormat="false" ht="15" hidden="false" customHeight="false" outlineLevel="0" collapsed="false">
      <c r="A309" s="5" t="str">
        <f aca="false">IF(B309="","",ROW()-3)</f>
        <v/>
      </c>
      <c r="B309" s="6"/>
      <c r="C309" s="7"/>
      <c r="D309" s="7"/>
      <c r="E309" s="8"/>
      <c r="F309" s="7"/>
      <c r="G309" s="9" t="str">
        <f aca="true">IF(B309="","",IF(F309="完了","✓ 完了",IF(E309="","⚠ 期限未設定",IF(E309&lt;TODAY(),"🔴 超過",IF(E309=TODAY(),"🟡 今日","")))))</f>
        <v/>
      </c>
      <c r="H309" s="6"/>
      <c r="I309" s="6"/>
      <c r="J309" s="8"/>
      <c r="K309" s="8"/>
    </row>
    <row r="310" customFormat="false" ht="15" hidden="false" customHeight="false" outlineLevel="0" collapsed="false">
      <c r="A310" s="5" t="str">
        <f aca="false">IF(B310="","",ROW()-3)</f>
        <v/>
      </c>
      <c r="B310" s="6"/>
      <c r="C310" s="7"/>
      <c r="D310" s="7"/>
      <c r="E310" s="8"/>
      <c r="F310" s="7"/>
      <c r="G310" s="9" t="str">
        <f aca="true">IF(B310="","",IF(F310="完了","✓ 完了",IF(E310="","⚠ 期限未設定",IF(E310&lt;TODAY(),"🔴 超過",IF(E310=TODAY(),"🟡 今日","")))))</f>
        <v/>
      </c>
      <c r="H310" s="6"/>
      <c r="I310" s="6"/>
      <c r="J310" s="8"/>
      <c r="K310" s="8"/>
    </row>
    <row r="311" customFormat="false" ht="15" hidden="false" customHeight="false" outlineLevel="0" collapsed="false">
      <c r="A311" s="5" t="str">
        <f aca="false">IF(B311="","",ROW()-3)</f>
        <v/>
      </c>
      <c r="B311" s="6"/>
      <c r="C311" s="7"/>
      <c r="D311" s="7"/>
      <c r="E311" s="8"/>
      <c r="F311" s="7"/>
      <c r="G311" s="9" t="str">
        <f aca="true">IF(B311="","",IF(F311="完了","✓ 完了",IF(E311="","⚠ 期限未設定",IF(E311&lt;TODAY(),"🔴 超過",IF(E311=TODAY(),"🟡 今日","")))))</f>
        <v/>
      </c>
      <c r="H311" s="6"/>
      <c r="I311" s="6"/>
      <c r="J311" s="8"/>
      <c r="K311" s="8"/>
    </row>
    <row r="312" customFormat="false" ht="15" hidden="false" customHeight="false" outlineLevel="0" collapsed="false">
      <c r="A312" s="5" t="str">
        <f aca="false">IF(B312="","",ROW()-3)</f>
        <v/>
      </c>
      <c r="B312" s="6"/>
      <c r="C312" s="7"/>
      <c r="D312" s="7"/>
      <c r="E312" s="8"/>
      <c r="F312" s="7"/>
      <c r="G312" s="9" t="str">
        <f aca="true">IF(B312="","",IF(F312="完了","✓ 完了",IF(E312="","⚠ 期限未設定",IF(E312&lt;TODAY(),"🔴 超過",IF(E312=TODAY(),"🟡 今日","")))))</f>
        <v/>
      </c>
      <c r="H312" s="6"/>
      <c r="I312" s="6"/>
      <c r="J312" s="8"/>
      <c r="K312" s="8"/>
    </row>
    <row r="313" customFormat="false" ht="15" hidden="false" customHeight="false" outlineLevel="0" collapsed="false">
      <c r="A313" s="5" t="str">
        <f aca="false">IF(B313="","",ROW()-3)</f>
        <v/>
      </c>
      <c r="B313" s="6"/>
      <c r="C313" s="7"/>
      <c r="D313" s="7"/>
      <c r="E313" s="8"/>
      <c r="F313" s="7"/>
      <c r="G313" s="9" t="str">
        <f aca="true">IF(B313="","",IF(F313="完了","✓ 完了",IF(E313="","⚠ 期限未設定",IF(E313&lt;TODAY(),"🔴 超過",IF(E313=TODAY(),"🟡 今日","")))))</f>
        <v/>
      </c>
      <c r="H313" s="6"/>
      <c r="I313" s="6"/>
      <c r="J313" s="8"/>
      <c r="K313" s="8"/>
    </row>
    <row r="314" customFormat="false" ht="15" hidden="false" customHeight="false" outlineLevel="0" collapsed="false">
      <c r="A314" s="5" t="str">
        <f aca="false">IF(B314="","",ROW()-3)</f>
        <v/>
      </c>
      <c r="B314" s="6"/>
      <c r="C314" s="7"/>
      <c r="D314" s="7"/>
      <c r="E314" s="8"/>
      <c r="F314" s="7"/>
      <c r="G314" s="9" t="str">
        <f aca="true">IF(B314="","",IF(F314="完了","✓ 完了",IF(E314="","⚠ 期限未設定",IF(E314&lt;TODAY(),"🔴 超過",IF(E314=TODAY(),"🟡 今日","")))))</f>
        <v/>
      </c>
      <c r="H314" s="6"/>
      <c r="I314" s="6"/>
      <c r="J314" s="8"/>
      <c r="K314" s="8"/>
    </row>
    <row r="315" customFormat="false" ht="15" hidden="false" customHeight="false" outlineLevel="0" collapsed="false">
      <c r="A315" s="5" t="str">
        <f aca="false">IF(B315="","",ROW()-3)</f>
        <v/>
      </c>
      <c r="B315" s="6"/>
      <c r="C315" s="7"/>
      <c r="D315" s="7"/>
      <c r="E315" s="8"/>
      <c r="F315" s="7"/>
      <c r="G315" s="9" t="str">
        <f aca="true">IF(B315="","",IF(F315="完了","✓ 完了",IF(E315="","⚠ 期限未設定",IF(E315&lt;TODAY(),"🔴 超過",IF(E315=TODAY(),"🟡 今日","")))))</f>
        <v/>
      </c>
      <c r="H315" s="6"/>
      <c r="I315" s="6"/>
      <c r="J315" s="8"/>
      <c r="K315" s="8"/>
    </row>
    <row r="316" customFormat="false" ht="15" hidden="false" customHeight="false" outlineLevel="0" collapsed="false">
      <c r="A316" s="5" t="str">
        <f aca="false">IF(B316="","",ROW()-3)</f>
        <v/>
      </c>
      <c r="B316" s="6"/>
      <c r="C316" s="7"/>
      <c r="D316" s="7"/>
      <c r="E316" s="8"/>
      <c r="F316" s="7"/>
      <c r="G316" s="9" t="str">
        <f aca="true">IF(B316="","",IF(F316="完了","✓ 完了",IF(E316="","⚠ 期限未設定",IF(E316&lt;TODAY(),"🔴 超過",IF(E316=TODAY(),"🟡 今日","")))))</f>
        <v/>
      </c>
      <c r="H316" s="6"/>
      <c r="I316" s="6"/>
      <c r="J316" s="8"/>
      <c r="K316" s="8"/>
    </row>
    <row r="317" customFormat="false" ht="15" hidden="false" customHeight="false" outlineLevel="0" collapsed="false">
      <c r="A317" s="5" t="str">
        <f aca="false">IF(B317="","",ROW()-3)</f>
        <v/>
      </c>
      <c r="B317" s="6"/>
      <c r="C317" s="7"/>
      <c r="D317" s="7"/>
      <c r="E317" s="8"/>
      <c r="F317" s="7"/>
      <c r="G317" s="9" t="str">
        <f aca="true">IF(B317="","",IF(F317="完了","✓ 完了",IF(E317="","⚠ 期限未設定",IF(E317&lt;TODAY(),"🔴 超過",IF(E317=TODAY(),"🟡 今日","")))))</f>
        <v/>
      </c>
      <c r="H317" s="6"/>
      <c r="I317" s="6"/>
      <c r="J317" s="8"/>
      <c r="K317" s="8"/>
    </row>
    <row r="318" customFormat="false" ht="15" hidden="false" customHeight="false" outlineLevel="0" collapsed="false">
      <c r="A318" s="5" t="str">
        <f aca="false">IF(B318="","",ROW()-3)</f>
        <v/>
      </c>
      <c r="B318" s="6"/>
      <c r="C318" s="7"/>
      <c r="D318" s="7"/>
      <c r="E318" s="8"/>
      <c r="F318" s="7"/>
      <c r="G318" s="9" t="str">
        <f aca="true">IF(B318="","",IF(F318="完了","✓ 完了",IF(E318="","⚠ 期限未設定",IF(E318&lt;TODAY(),"🔴 超過",IF(E318=TODAY(),"🟡 今日","")))))</f>
        <v/>
      </c>
      <c r="H318" s="6"/>
      <c r="I318" s="6"/>
      <c r="J318" s="8"/>
      <c r="K318" s="8"/>
    </row>
    <row r="319" customFormat="false" ht="15" hidden="false" customHeight="false" outlineLevel="0" collapsed="false">
      <c r="A319" s="5" t="str">
        <f aca="false">IF(B319="","",ROW()-3)</f>
        <v/>
      </c>
      <c r="B319" s="6"/>
      <c r="C319" s="7"/>
      <c r="D319" s="7"/>
      <c r="E319" s="8"/>
      <c r="F319" s="7"/>
      <c r="G319" s="9" t="str">
        <f aca="true">IF(B319="","",IF(F319="完了","✓ 完了",IF(E319="","⚠ 期限未設定",IF(E319&lt;TODAY(),"🔴 超過",IF(E319=TODAY(),"🟡 今日","")))))</f>
        <v/>
      </c>
      <c r="H319" s="6"/>
      <c r="I319" s="6"/>
      <c r="J319" s="8"/>
      <c r="K319" s="8"/>
    </row>
    <row r="320" customFormat="false" ht="15" hidden="false" customHeight="false" outlineLevel="0" collapsed="false">
      <c r="A320" s="5" t="str">
        <f aca="false">IF(B320="","",ROW()-3)</f>
        <v/>
      </c>
      <c r="B320" s="6"/>
      <c r="C320" s="7"/>
      <c r="D320" s="7"/>
      <c r="E320" s="8"/>
      <c r="F320" s="7"/>
      <c r="G320" s="9" t="str">
        <f aca="true">IF(B320="","",IF(F320="完了","✓ 完了",IF(E320="","⚠ 期限未設定",IF(E320&lt;TODAY(),"🔴 超過",IF(E320=TODAY(),"🟡 今日","")))))</f>
        <v/>
      </c>
      <c r="H320" s="6"/>
      <c r="I320" s="6"/>
      <c r="J320" s="8"/>
      <c r="K320" s="8"/>
    </row>
    <row r="321" customFormat="false" ht="15" hidden="false" customHeight="false" outlineLevel="0" collapsed="false">
      <c r="A321" s="5" t="str">
        <f aca="false">IF(B321="","",ROW()-3)</f>
        <v/>
      </c>
      <c r="B321" s="6"/>
      <c r="C321" s="7"/>
      <c r="D321" s="7"/>
      <c r="E321" s="8"/>
      <c r="F321" s="7"/>
      <c r="G321" s="9" t="str">
        <f aca="true">IF(B321="","",IF(F321="完了","✓ 完了",IF(E321="","⚠ 期限未設定",IF(E321&lt;TODAY(),"🔴 超過",IF(E321=TODAY(),"🟡 今日","")))))</f>
        <v/>
      </c>
      <c r="H321" s="6"/>
      <c r="I321" s="6"/>
      <c r="J321" s="8"/>
      <c r="K321" s="8"/>
    </row>
    <row r="322" customFormat="false" ht="15" hidden="false" customHeight="false" outlineLevel="0" collapsed="false">
      <c r="A322" s="5" t="str">
        <f aca="false">IF(B322="","",ROW()-3)</f>
        <v/>
      </c>
      <c r="B322" s="6"/>
      <c r="C322" s="7"/>
      <c r="D322" s="7"/>
      <c r="E322" s="8"/>
      <c r="F322" s="7"/>
      <c r="G322" s="9" t="str">
        <f aca="true">IF(B322="","",IF(F322="完了","✓ 完了",IF(E322="","⚠ 期限未設定",IF(E322&lt;TODAY(),"🔴 超過",IF(E322=TODAY(),"🟡 今日","")))))</f>
        <v/>
      </c>
      <c r="H322" s="6"/>
      <c r="I322" s="6"/>
      <c r="J322" s="8"/>
      <c r="K322" s="8"/>
    </row>
    <row r="323" customFormat="false" ht="15" hidden="false" customHeight="false" outlineLevel="0" collapsed="false">
      <c r="A323" s="5" t="str">
        <f aca="false">IF(B323="","",ROW()-3)</f>
        <v/>
      </c>
      <c r="B323" s="6"/>
      <c r="C323" s="7"/>
      <c r="D323" s="7"/>
      <c r="E323" s="8"/>
      <c r="F323" s="7"/>
      <c r="G323" s="9" t="str">
        <f aca="true">IF(B323="","",IF(F323="完了","✓ 完了",IF(E323="","⚠ 期限未設定",IF(E323&lt;TODAY(),"🔴 超過",IF(E323=TODAY(),"🟡 今日","")))))</f>
        <v/>
      </c>
      <c r="H323" s="6"/>
      <c r="I323" s="6"/>
      <c r="J323" s="8"/>
      <c r="K323" s="8"/>
    </row>
    <row r="324" customFormat="false" ht="15" hidden="false" customHeight="false" outlineLevel="0" collapsed="false">
      <c r="A324" s="5" t="str">
        <f aca="false">IF(B324="","",ROW()-3)</f>
        <v/>
      </c>
      <c r="B324" s="6"/>
      <c r="C324" s="7"/>
      <c r="D324" s="7"/>
      <c r="E324" s="8"/>
      <c r="F324" s="7"/>
      <c r="G324" s="9" t="str">
        <f aca="true">IF(B324="","",IF(F324="完了","✓ 完了",IF(E324="","⚠ 期限未設定",IF(E324&lt;TODAY(),"🔴 超過",IF(E324=TODAY(),"🟡 今日","")))))</f>
        <v/>
      </c>
      <c r="H324" s="6"/>
      <c r="I324" s="6"/>
      <c r="J324" s="8"/>
      <c r="K324" s="8"/>
    </row>
    <row r="325" customFormat="false" ht="15" hidden="false" customHeight="false" outlineLevel="0" collapsed="false">
      <c r="A325" s="5" t="str">
        <f aca="false">IF(B325="","",ROW()-3)</f>
        <v/>
      </c>
      <c r="B325" s="6"/>
      <c r="C325" s="7"/>
      <c r="D325" s="7"/>
      <c r="E325" s="8"/>
      <c r="F325" s="7"/>
      <c r="G325" s="9" t="str">
        <f aca="true">IF(B325="","",IF(F325="完了","✓ 完了",IF(E325="","⚠ 期限未設定",IF(E325&lt;TODAY(),"🔴 超過",IF(E325=TODAY(),"🟡 今日","")))))</f>
        <v/>
      </c>
      <c r="H325" s="6"/>
      <c r="I325" s="6"/>
      <c r="J325" s="8"/>
      <c r="K325" s="8"/>
    </row>
    <row r="326" customFormat="false" ht="15" hidden="false" customHeight="false" outlineLevel="0" collapsed="false">
      <c r="A326" s="5" t="str">
        <f aca="false">IF(B326="","",ROW()-3)</f>
        <v/>
      </c>
      <c r="B326" s="6"/>
      <c r="C326" s="7"/>
      <c r="D326" s="7"/>
      <c r="E326" s="8"/>
      <c r="F326" s="7"/>
      <c r="G326" s="9" t="str">
        <f aca="true">IF(B326="","",IF(F326="完了","✓ 完了",IF(E326="","⚠ 期限未設定",IF(E326&lt;TODAY(),"🔴 超過",IF(E326=TODAY(),"🟡 今日","")))))</f>
        <v/>
      </c>
      <c r="H326" s="6"/>
      <c r="I326" s="6"/>
      <c r="J326" s="8"/>
      <c r="K326" s="8"/>
    </row>
    <row r="327" customFormat="false" ht="15" hidden="false" customHeight="false" outlineLevel="0" collapsed="false">
      <c r="A327" s="5" t="str">
        <f aca="false">IF(B327="","",ROW()-3)</f>
        <v/>
      </c>
      <c r="B327" s="6"/>
      <c r="C327" s="7"/>
      <c r="D327" s="7"/>
      <c r="E327" s="8"/>
      <c r="F327" s="7"/>
      <c r="G327" s="9" t="str">
        <f aca="true">IF(B327="","",IF(F327="完了","✓ 完了",IF(E327="","⚠ 期限未設定",IF(E327&lt;TODAY(),"🔴 超過",IF(E327=TODAY(),"🟡 今日","")))))</f>
        <v/>
      </c>
      <c r="H327" s="6"/>
      <c r="I327" s="6"/>
      <c r="J327" s="8"/>
      <c r="K327" s="8"/>
    </row>
    <row r="328" customFormat="false" ht="15" hidden="false" customHeight="false" outlineLevel="0" collapsed="false">
      <c r="A328" s="5" t="str">
        <f aca="false">IF(B328="","",ROW()-3)</f>
        <v/>
      </c>
      <c r="B328" s="6"/>
      <c r="C328" s="7"/>
      <c r="D328" s="7"/>
      <c r="E328" s="8"/>
      <c r="F328" s="7"/>
      <c r="G328" s="9" t="str">
        <f aca="true">IF(B328="","",IF(F328="完了","✓ 完了",IF(E328="","⚠ 期限未設定",IF(E328&lt;TODAY(),"🔴 超過",IF(E328=TODAY(),"🟡 今日","")))))</f>
        <v/>
      </c>
      <c r="H328" s="6"/>
      <c r="I328" s="6"/>
      <c r="J328" s="8"/>
      <c r="K328" s="8"/>
    </row>
    <row r="329" customFormat="false" ht="15" hidden="false" customHeight="false" outlineLevel="0" collapsed="false">
      <c r="A329" s="5" t="str">
        <f aca="false">IF(B329="","",ROW()-3)</f>
        <v/>
      </c>
      <c r="B329" s="6"/>
      <c r="C329" s="7"/>
      <c r="D329" s="7"/>
      <c r="E329" s="8"/>
      <c r="F329" s="7"/>
      <c r="G329" s="9" t="str">
        <f aca="true">IF(B329="","",IF(F329="完了","✓ 完了",IF(E329="","⚠ 期限未設定",IF(E329&lt;TODAY(),"🔴 超過",IF(E329=TODAY(),"🟡 今日","")))))</f>
        <v/>
      </c>
      <c r="H329" s="6"/>
      <c r="I329" s="6"/>
      <c r="J329" s="8"/>
      <c r="K329" s="8"/>
    </row>
    <row r="330" customFormat="false" ht="15" hidden="false" customHeight="false" outlineLevel="0" collapsed="false">
      <c r="A330" s="5" t="str">
        <f aca="false">IF(B330="","",ROW()-3)</f>
        <v/>
      </c>
      <c r="B330" s="6"/>
      <c r="C330" s="7"/>
      <c r="D330" s="7"/>
      <c r="E330" s="8"/>
      <c r="F330" s="7"/>
      <c r="G330" s="9" t="str">
        <f aca="true">IF(B330="","",IF(F330="完了","✓ 完了",IF(E330="","⚠ 期限未設定",IF(E330&lt;TODAY(),"🔴 超過",IF(E330=TODAY(),"🟡 今日","")))))</f>
        <v/>
      </c>
      <c r="H330" s="6"/>
      <c r="I330" s="6"/>
      <c r="J330" s="8"/>
      <c r="K330" s="8"/>
    </row>
    <row r="331" customFormat="false" ht="15" hidden="false" customHeight="false" outlineLevel="0" collapsed="false">
      <c r="A331" s="5" t="str">
        <f aca="false">IF(B331="","",ROW()-3)</f>
        <v/>
      </c>
      <c r="B331" s="6"/>
      <c r="C331" s="7"/>
      <c r="D331" s="7"/>
      <c r="E331" s="8"/>
      <c r="F331" s="7"/>
      <c r="G331" s="9" t="str">
        <f aca="true">IF(B331="","",IF(F331="完了","✓ 完了",IF(E331="","⚠ 期限未設定",IF(E331&lt;TODAY(),"🔴 超過",IF(E331=TODAY(),"🟡 今日","")))))</f>
        <v/>
      </c>
      <c r="H331" s="6"/>
      <c r="I331" s="6"/>
      <c r="J331" s="8"/>
      <c r="K331" s="8"/>
    </row>
    <row r="332" customFormat="false" ht="15" hidden="false" customHeight="false" outlineLevel="0" collapsed="false">
      <c r="A332" s="5" t="str">
        <f aca="false">IF(B332="","",ROW()-3)</f>
        <v/>
      </c>
      <c r="B332" s="6"/>
      <c r="C332" s="7"/>
      <c r="D332" s="7"/>
      <c r="E332" s="8"/>
      <c r="F332" s="7"/>
      <c r="G332" s="9" t="str">
        <f aca="true">IF(B332="","",IF(F332="完了","✓ 完了",IF(E332="","⚠ 期限未設定",IF(E332&lt;TODAY(),"🔴 超過",IF(E332=TODAY(),"🟡 今日","")))))</f>
        <v/>
      </c>
      <c r="H332" s="6"/>
      <c r="I332" s="6"/>
      <c r="J332" s="8"/>
      <c r="K332" s="8"/>
    </row>
    <row r="333" customFormat="false" ht="15" hidden="false" customHeight="false" outlineLevel="0" collapsed="false">
      <c r="A333" s="5" t="str">
        <f aca="false">IF(B333="","",ROW()-3)</f>
        <v/>
      </c>
      <c r="B333" s="6"/>
      <c r="C333" s="7"/>
      <c r="D333" s="7"/>
      <c r="E333" s="8"/>
      <c r="F333" s="7"/>
      <c r="G333" s="9" t="str">
        <f aca="true">IF(B333="","",IF(F333="完了","✓ 完了",IF(E333="","⚠ 期限未設定",IF(E333&lt;TODAY(),"🔴 超過",IF(E333=TODAY(),"🟡 今日","")))))</f>
        <v/>
      </c>
      <c r="H333" s="6"/>
      <c r="I333" s="6"/>
      <c r="J333" s="8"/>
      <c r="K333" s="8"/>
    </row>
    <row r="334" customFormat="false" ht="15" hidden="false" customHeight="false" outlineLevel="0" collapsed="false">
      <c r="A334" s="5" t="str">
        <f aca="false">IF(B334="","",ROW()-3)</f>
        <v/>
      </c>
      <c r="B334" s="6"/>
      <c r="C334" s="7"/>
      <c r="D334" s="7"/>
      <c r="E334" s="8"/>
      <c r="F334" s="7"/>
      <c r="G334" s="9" t="str">
        <f aca="true">IF(B334="","",IF(F334="完了","✓ 完了",IF(E334="","⚠ 期限未設定",IF(E334&lt;TODAY(),"🔴 超過",IF(E334=TODAY(),"🟡 今日","")))))</f>
        <v/>
      </c>
      <c r="H334" s="6"/>
      <c r="I334" s="6"/>
      <c r="J334" s="8"/>
      <c r="K334" s="8"/>
    </row>
    <row r="335" customFormat="false" ht="15" hidden="false" customHeight="false" outlineLevel="0" collapsed="false">
      <c r="A335" s="5" t="str">
        <f aca="false">IF(B335="","",ROW()-3)</f>
        <v/>
      </c>
      <c r="B335" s="6"/>
      <c r="C335" s="7"/>
      <c r="D335" s="7"/>
      <c r="E335" s="8"/>
      <c r="F335" s="7"/>
      <c r="G335" s="9" t="str">
        <f aca="true">IF(B335="","",IF(F335="完了","✓ 完了",IF(E335="","⚠ 期限未設定",IF(E335&lt;TODAY(),"🔴 超過",IF(E335=TODAY(),"🟡 今日","")))))</f>
        <v/>
      </c>
      <c r="H335" s="6"/>
      <c r="I335" s="6"/>
      <c r="J335" s="8"/>
      <c r="K335" s="8"/>
    </row>
    <row r="336" customFormat="false" ht="15" hidden="false" customHeight="false" outlineLevel="0" collapsed="false">
      <c r="A336" s="5" t="str">
        <f aca="false">IF(B336="","",ROW()-3)</f>
        <v/>
      </c>
      <c r="B336" s="6"/>
      <c r="C336" s="7"/>
      <c r="D336" s="7"/>
      <c r="E336" s="8"/>
      <c r="F336" s="7"/>
      <c r="G336" s="9" t="str">
        <f aca="true">IF(B336="","",IF(F336="完了","✓ 完了",IF(E336="","⚠ 期限未設定",IF(E336&lt;TODAY(),"🔴 超過",IF(E336=TODAY(),"🟡 今日","")))))</f>
        <v/>
      </c>
      <c r="H336" s="6"/>
      <c r="I336" s="6"/>
      <c r="J336" s="8"/>
      <c r="K336" s="8"/>
    </row>
    <row r="337" customFormat="false" ht="15" hidden="false" customHeight="false" outlineLevel="0" collapsed="false">
      <c r="A337" s="5" t="str">
        <f aca="false">IF(B337="","",ROW()-3)</f>
        <v/>
      </c>
      <c r="B337" s="6"/>
      <c r="C337" s="7"/>
      <c r="D337" s="7"/>
      <c r="E337" s="8"/>
      <c r="F337" s="7"/>
      <c r="G337" s="9" t="str">
        <f aca="true">IF(B337="","",IF(F337="完了","✓ 完了",IF(E337="","⚠ 期限未設定",IF(E337&lt;TODAY(),"🔴 超過",IF(E337=TODAY(),"🟡 今日","")))))</f>
        <v/>
      </c>
      <c r="H337" s="6"/>
      <c r="I337" s="6"/>
      <c r="J337" s="8"/>
      <c r="K337" s="8"/>
    </row>
    <row r="338" customFormat="false" ht="15" hidden="false" customHeight="false" outlineLevel="0" collapsed="false">
      <c r="A338" s="5" t="str">
        <f aca="false">IF(B338="","",ROW()-3)</f>
        <v/>
      </c>
      <c r="B338" s="6"/>
      <c r="C338" s="7"/>
      <c r="D338" s="7"/>
      <c r="E338" s="8"/>
      <c r="F338" s="7"/>
      <c r="G338" s="9" t="str">
        <f aca="true">IF(B338="","",IF(F338="完了","✓ 完了",IF(E338="","⚠ 期限未設定",IF(E338&lt;TODAY(),"🔴 超過",IF(E338=TODAY(),"🟡 今日","")))))</f>
        <v/>
      </c>
      <c r="H338" s="6"/>
      <c r="I338" s="6"/>
      <c r="J338" s="8"/>
      <c r="K338" s="8"/>
    </row>
    <row r="339" customFormat="false" ht="15" hidden="false" customHeight="false" outlineLevel="0" collapsed="false">
      <c r="A339" s="5" t="str">
        <f aca="false">IF(B339="","",ROW()-3)</f>
        <v/>
      </c>
      <c r="B339" s="6"/>
      <c r="C339" s="7"/>
      <c r="D339" s="7"/>
      <c r="E339" s="8"/>
      <c r="F339" s="7"/>
      <c r="G339" s="9" t="str">
        <f aca="true">IF(B339="","",IF(F339="完了","✓ 完了",IF(E339="","⚠ 期限未設定",IF(E339&lt;TODAY(),"🔴 超過",IF(E339=TODAY(),"🟡 今日","")))))</f>
        <v/>
      </c>
      <c r="H339" s="6"/>
      <c r="I339" s="6"/>
      <c r="J339" s="8"/>
      <c r="K339" s="8"/>
    </row>
    <row r="340" customFormat="false" ht="15" hidden="false" customHeight="false" outlineLevel="0" collapsed="false">
      <c r="A340" s="5" t="str">
        <f aca="false">IF(B340="","",ROW()-3)</f>
        <v/>
      </c>
      <c r="B340" s="6"/>
      <c r="C340" s="7"/>
      <c r="D340" s="7"/>
      <c r="E340" s="8"/>
      <c r="F340" s="7"/>
      <c r="G340" s="9" t="str">
        <f aca="true">IF(B340="","",IF(F340="完了","✓ 完了",IF(E340="","⚠ 期限未設定",IF(E340&lt;TODAY(),"🔴 超過",IF(E340=TODAY(),"🟡 今日","")))))</f>
        <v/>
      </c>
      <c r="H340" s="6"/>
      <c r="I340" s="6"/>
      <c r="J340" s="8"/>
      <c r="K340" s="8"/>
    </row>
    <row r="341" customFormat="false" ht="15" hidden="false" customHeight="false" outlineLevel="0" collapsed="false">
      <c r="A341" s="5" t="str">
        <f aca="false">IF(B341="","",ROW()-3)</f>
        <v/>
      </c>
      <c r="B341" s="6"/>
      <c r="C341" s="7"/>
      <c r="D341" s="7"/>
      <c r="E341" s="8"/>
      <c r="F341" s="7"/>
      <c r="G341" s="9" t="str">
        <f aca="true">IF(B341="","",IF(F341="完了","✓ 完了",IF(E341="","⚠ 期限未設定",IF(E341&lt;TODAY(),"🔴 超過",IF(E341=TODAY(),"🟡 今日","")))))</f>
        <v/>
      </c>
      <c r="H341" s="6"/>
      <c r="I341" s="6"/>
      <c r="J341" s="8"/>
      <c r="K341" s="8"/>
    </row>
    <row r="342" customFormat="false" ht="15" hidden="false" customHeight="false" outlineLevel="0" collapsed="false">
      <c r="A342" s="5" t="str">
        <f aca="false">IF(B342="","",ROW()-3)</f>
        <v/>
      </c>
      <c r="B342" s="6"/>
      <c r="C342" s="7"/>
      <c r="D342" s="7"/>
      <c r="E342" s="8"/>
      <c r="F342" s="7"/>
      <c r="G342" s="9" t="str">
        <f aca="true">IF(B342="","",IF(F342="完了","✓ 完了",IF(E342="","⚠ 期限未設定",IF(E342&lt;TODAY(),"🔴 超過",IF(E342=TODAY(),"🟡 今日","")))))</f>
        <v/>
      </c>
      <c r="H342" s="6"/>
      <c r="I342" s="6"/>
      <c r="J342" s="8"/>
      <c r="K342" s="8"/>
    </row>
    <row r="343" customFormat="false" ht="15" hidden="false" customHeight="false" outlineLevel="0" collapsed="false">
      <c r="A343" s="5" t="str">
        <f aca="false">IF(B343="","",ROW()-3)</f>
        <v/>
      </c>
      <c r="B343" s="6"/>
      <c r="C343" s="7"/>
      <c r="D343" s="7"/>
      <c r="E343" s="8"/>
      <c r="F343" s="7"/>
      <c r="G343" s="9" t="str">
        <f aca="true">IF(B343="","",IF(F343="完了","✓ 完了",IF(E343="","⚠ 期限未設定",IF(E343&lt;TODAY(),"🔴 超過",IF(E343=TODAY(),"🟡 今日","")))))</f>
        <v/>
      </c>
      <c r="H343" s="6"/>
      <c r="I343" s="6"/>
      <c r="J343" s="8"/>
      <c r="K343" s="8"/>
    </row>
    <row r="344" customFormat="false" ht="15" hidden="false" customHeight="false" outlineLevel="0" collapsed="false">
      <c r="A344" s="5" t="str">
        <f aca="false">IF(B344="","",ROW()-3)</f>
        <v/>
      </c>
      <c r="B344" s="6"/>
      <c r="C344" s="7"/>
      <c r="D344" s="7"/>
      <c r="E344" s="8"/>
      <c r="F344" s="7"/>
      <c r="G344" s="9" t="str">
        <f aca="true">IF(B344="","",IF(F344="完了","✓ 完了",IF(E344="","⚠ 期限未設定",IF(E344&lt;TODAY(),"🔴 超過",IF(E344=TODAY(),"🟡 今日","")))))</f>
        <v/>
      </c>
      <c r="H344" s="6"/>
      <c r="I344" s="6"/>
      <c r="J344" s="8"/>
      <c r="K344" s="8"/>
    </row>
    <row r="345" customFormat="false" ht="15" hidden="false" customHeight="false" outlineLevel="0" collapsed="false">
      <c r="A345" s="5" t="str">
        <f aca="false">IF(B345="","",ROW()-3)</f>
        <v/>
      </c>
      <c r="B345" s="6"/>
      <c r="C345" s="7"/>
      <c r="D345" s="7"/>
      <c r="E345" s="8"/>
      <c r="F345" s="7"/>
      <c r="G345" s="9" t="str">
        <f aca="true">IF(B345="","",IF(F345="完了","✓ 完了",IF(E345="","⚠ 期限未設定",IF(E345&lt;TODAY(),"🔴 超過",IF(E345=TODAY(),"🟡 今日","")))))</f>
        <v/>
      </c>
      <c r="H345" s="6"/>
      <c r="I345" s="6"/>
      <c r="J345" s="8"/>
      <c r="K345" s="8"/>
    </row>
    <row r="346" customFormat="false" ht="15" hidden="false" customHeight="false" outlineLevel="0" collapsed="false">
      <c r="A346" s="5" t="str">
        <f aca="false">IF(B346="","",ROW()-3)</f>
        <v/>
      </c>
      <c r="B346" s="6"/>
      <c r="C346" s="7"/>
      <c r="D346" s="7"/>
      <c r="E346" s="8"/>
      <c r="F346" s="7"/>
      <c r="G346" s="9" t="str">
        <f aca="true">IF(B346="","",IF(F346="完了","✓ 完了",IF(E346="","⚠ 期限未設定",IF(E346&lt;TODAY(),"🔴 超過",IF(E346=TODAY(),"🟡 今日","")))))</f>
        <v/>
      </c>
      <c r="H346" s="6"/>
      <c r="I346" s="6"/>
      <c r="J346" s="8"/>
      <c r="K346" s="8"/>
    </row>
    <row r="347" customFormat="false" ht="15" hidden="false" customHeight="false" outlineLevel="0" collapsed="false">
      <c r="A347" s="5" t="str">
        <f aca="false">IF(B347="","",ROW()-3)</f>
        <v/>
      </c>
      <c r="B347" s="6"/>
      <c r="C347" s="7"/>
      <c r="D347" s="7"/>
      <c r="E347" s="8"/>
      <c r="F347" s="7"/>
      <c r="G347" s="9" t="str">
        <f aca="true">IF(B347="","",IF(F347="完了","✓ 完了",IF(E347="","⚠ 期限未設定",IF(E347&lt;TODAY(),"🔴 超過",IF(E347=TODAY(),"🟡 今日","")))))</f>
        <v/>
      </c>
      <c r="H347" s="6"/>
      <c r="I347" s="6"/>
      <c r="J347" s="8"/>
      <c r="K347" s="8"/>
    </row>
    <row r="348" customFormat="false" ht="15" hidden="false" customHeight="false" outlineLevel="0" collapsed="false">
      <c r="A348" s="5" t="str">
        <f aca="false">IF(B348="","",ROW()-3)</f>
        <v/>
      </c>
      <c r="B348" s="6"/>
      <c r="C348" s="7"/>
      <c r="D348" s="7"/>
      <c r="E348" s="8"/>
      <c r="F348" s="7"/>
      <c r="G348" s="9" t="str">
        <f aca="true">IF(B348="","",IF(F348="完了","✓ 完了",IF(E348="","⚠ 期限未設定",IF(E348&lt;TODAY(),"🔴 超過",IF(E348=TODAY(),"🟡 今日","")))))</f>
        <v/>
      </c>
      <c r="H348" s="6"/>
      <c r="I348" s="6"/>
      <c r="J348" s="8"/>
      <c r="K348" s="8"/>
    </row>
    <row r="349" customFormat="false" ht="15" hidden="false" customHeight="false" outlineLevel="0" collapsed="false">
      <c r="A349" s="5" t="str">
        <f aca="false">IF(B349="","",ROW()-3)</f>
        <v/>
      </c>
      <c r="B349" s="6"/>
      <c r="C349" s="7"/>
      <c r="D349" s="7"/>
      <c r="E349" s="8"/>
      <c r="F349" s="7"/>
      <c r="G349" s="9" t="str">
        <f aca="true">IF(B349="","",IF(F349="完了","✓ 完了",IF(E349="","⚠ 期限未設定",IF(E349&lt;TODAY(),"🔴 超過",IF(E349=TODAY(),"🟡 今日","")))))</f>
        <v/>
      </c>
      <c r="H349" s="6"/>
      <c r="I349" s="6"/>
      <c r="J349" s="8"/>
      <c r="K349" s="8"/>
    </row>
    <row r="350" customFormat="false" ht="15" hidden="false" customHeight="false" outlineLevel="0" collapsed="false">
      <c r="A350" s="5" t="str">
        <f aca="false">IF(B350="","",ROW()-3)</f>
        <v/>
      </c>
      <c r="B350" s="6"/>
      <c r="C350" s="7"/>
      <c r="D350" s="7"/>
      <c r="E350" s="8"/>
      <c r="F350" s="7"/>
      <c r="G350" s="9" t="str">
        <f aca="true">IF(B350="","",IF(F350="完了","✓ 完了",IF(E350="","⚠ 期限未設定",IF(E350&lt;TODAY(),"🔴 超過",IF(E350=TODAY(),"🟡 今日","")))))</f>
        <v/>
      </c>
      <c r="H350" s="6"/>
      <c r="I350" s="6"/>
      <c r="J350" s="8"/>
      <c r="K350" s="8"/>
    </row>
    <row r="351" customFormat="false" ht="15" hidden="false" customHeight="false" outlineLevel="0" collapsed="false">
      <c r="A351" s="5" t="str">
        <f aca="false">IF(B351="","",ROW()-3)</f>
        <v/>
      </c>
      <c r="B351" s="6"/>
      <c r="C351" s="7"/>
      <c r="D351" s="7"/>
      <c r="E351" s="8"/>
      <c r="F351" s="7"/>
      <c r="G351" s="9" t="str">
        <f aca="true">IF(B351="","",IF(F351="完了","✓ 完了",IF(E351="","⚠ 期限未設定",IF(E351&lt;TODAY(),"🔴 超過",IF(E351=TODAY(),"🟡 今日","")))))</f>
        <v/>
      </c>
      <c r="H351" s="6"/>
      <c r="I351" s="6"/>
      <c r="J351" s="8"/>
      <c r="K351" s="8"/>
    </row>
    <row r="352" customFormat="false" ht="15" hidden="false" customHeight="false" outlineLevel="0" collapsed="false">
      <c r="A352" s="5" t="str">
        <f aca="false">IF(B352="","",ROW()-3)</f>
        <v/>
      </c>
      <c r="B352" s="6"/>
      <c r="C352" s="7"/>
      <c r="D352" s="7"/>
      <c r="E352" s="8"/>
      <c r="F352" s="7"/>
      <c r="G352" s="9" t="str">
        <f aca="true">IF(B352="","",IF(F352="完了","✓ 完了",IF(E352="","⚠ 期限未設定",IF(E352&lt;TODAY(),"🔴 超過",IF(E352=TODAY(),"🟡 今日","")))))</f>
        <v/>
      </c>
      <c r="H352" s="6"/>
      <c r="I352" s="6"/>
      <c r="J352" s="8"/>
      <c r="K352" s="8"/>
    </row>
    <row r="353" customFormat="false" ht="15" hidden="false" customHeight="false" outlineLevel="0" collapsed="false">
      <c r="A353" s="5" t="str">
        <f aca="false">IF(B353="","",ROW()-3)</f>
        <v/>
      </c>
      <c r="B353" s="6"/>
      <c r="C353" s="7"/>
      <c r="D353" s="7"/>
      <c r="E353" s="8"/>
      <c r="F353" s="7"/>
      <c r="G353" s="9" t="str">
        <f aca="true">IF(B353="","",IF(F353="完了","✓ 完了",IF(E353="","⚠ 期限未設定",IF(E353&lt;TODAY(),"🔴 超過",IF(E353=TODAY(),"🟡 今日","")))))</f>
        <v/>
      </c>
      <c r="H353" s="6"/>
      <c r="I353" s="6"/>
      <c r="J353" s="8"/>
      <c r="K353" s="8"/>
    </row>
    <row r="354" customFormat="false" ht="15" hidden="false" customHeight="false" outlineLevel="0" collapsed="false">
      <c r="A354" s="5" t="str">
        <f aca="false">IF(B354="","",ROW()-3)</f>
        <v/>
      </c>
      <c r="B354" s="6"/>
      <c r="C354" s="7"/>
      <c r="D354" s="7"/>
      <c r="E354" s="8"/>
      <c r="F354" s="7"/>
      <c r="G354" s="9" t="str">
        <f aca="true">IF(B354="","",IF(F354="完了","✓ 完了",IF(E354="","⚠ 期限未設定",IF(E354&lt;TODAY(),"🔴 超過",IF(E354=TODAY(),"🟡 今日","")))))</f>
        <v/>
      </c>
      <c r="H354" s="6"/>
      <c r="I354" s="6"/>
      <c r="J354" s="8"/>
      <c r="K354" s="8"/>
    </row>
    <row r="355" customFormat="false" ht="15" hidden="false" customHeight="false" outlineLevel="0" collapsed="false">
      <c r="A355" s="5" t="str">
        <f aca="false">IF(B355="","",ROW()-3)</f>
        <v/>
      </c>
      <c r="B355" s="6"/>
      <c r="C355" s="7"/>
      <c r="D355" s="7"/>
      <c r="E355" s="8"/>
      <c r="F355" s="7"/>
      <c r="G355" s="9" t="str">
        <f aca="true">IF(B355="","",IF(F355="完了","✓ 完了",IF(E355="","⚠ 期限未設定",IF(E355&lt;TODAY(),"🔴 超過",IF(E355=TODAY(),"🟡 今日","")))))</f>
        <v/>
      </c>
      <c r="H355" s="6"/>
      <c r="I355" s="6"/>
      <c r="J355" s="8"/>
      <c r="K355" s="8"/>
    </row>
    <row r="356" customFormat="false" ht="15" hidden="false" customHeight="false" outlineLevel="0" collapsed="false">
      <c r="A356" s="5" t="str">
        <f aca="false">IF(B356="","",ROW()-3)</f>
        <v/>
      </c>
      <c r="B356" s="6"/>
      <c r="C356" s="7"/>
      <c r="D356" s="7"/>
      <c r="E356" s="8"/>
      <c r="F356" s="7"/>
      <c r="G356" s="9" t="str">
        <f aca="true">IF(B356="","",IF(F356="完了","✓ 完了",IF(E356="","⚠ 期限未設定",IF(E356&lt;TODAY(),"🔴 超過",IF(E356=TODAY(),"🟡 今日","")))))</f>
        <v/>
      </c>
      <c r="H356" s="6"/>
      <c r="I356" s="6"/>
      <c r="J356" s="8"/>
      <c r="K356" s="8"/>
    </row>
    <row r="357" customFormat="false" ht="15" hidden="false" customHeight="false" outlineLevel="0" collapsed="false">
      <c r="A357" s="5" t="str">
        <f aca="false">IF(B357="","",ROW()-3)</f>
        <v/>
      </c>
      <c r="B357" s="6"/>
      <c r="C357" s="7"/>
      <c r="D357" s="7"/>
      <c r="E357" s="8"/>
      <c r="F357" s="7"/>
      <c r="G357" s="9" t="str">
        <f aca="true">IF(B357="","",IF(F357="完了","✓ 完了",IF(E357="","⚠ 期限未設定",IF(E357&lt;TODAY(),"🔴 超過",IF(E357=TODAY(),"🟡 今日","")))))</f>
        <v/>
      </c>
      <c r="H357" s="6"/>
      <c r="I357" s="6"/>
      <c r="J357" s="8"/>
      <c r="K357" s="8"/>
    </row>
    <row r="358" customFormat="false" ht="15" hidden="false" customHeight="false" outlineLevel="0" collapsed="false">
      <c r="A358" s="5" t="str">
        <f aca="false">IF(B358="","",ROW()-3)</f>
        <v/>
      </c>
      <c r="B358" s="6"/>
      <c r="C358" s="7"/>
      <c r="D358" s="7"/>
      <c r="E358" s="8"/>
      <c r="F358" s="7"/>
      <c r="G358" s="9" t="str">
        <f aca="true">IF(B358="","",IF(F358="完了","✓ 完了",IF(E358="","⚠ 期限未設定",IF(E358&lt;TODAY(),"🔴 超過",IF(E358=TODAY(),"🟡 今日","")))))</f>
        <v/>
      </c>
      <c r="H358" s="6"/>
      <c r="I358" s="6"/>
      <c r="J358" s="8"/>
      <c r="K358" s="8"/>
    </row>
    <row r="359" customFormat="false" ht="15" hidden="false" customHeight="false" outlineLevel="0" collapsed="false">
      <c r="A359" s="5" t="str">
        <f aca="false">IF(B359="","",ROW()-3)</f>
        <v/>
      </c>
      <c r="B359" s="6"/>
      <c r="C359" s="7"/>
      <c r="D359" s="7"/>
      <c r="E359" s="8"/>
      <c r="F359" s="7"/>
      <c r="G359" s="9" t="str">
        <f aca="true">IF(B359="","",IF(F359="完了","✓ 完了",IF(E359="","⚠ 期限未設定",IF(E359&lt;TODAY(),"🔴 超過",IF(E359=TODAY(),"🟡 今日","")))))</f>
        <v/>
      </c>
      <c r="H359" s="6"/>
      <c r="I359" s="6"/>
      <c r="J359" s="8"/>
      <c r="K359" s="8"/>
    </row>
    <row r="360" customFormat="false" ht="15" hidden="false" customHeight="false" outlineLevel="0" collapsed="false">
      <c r="A360" s="5" t="str">
        <f aca="false">IF(B360="","",ROW()-3)</f>
        <v/>
      </c>
      <c r="B360" s="6"/>
      <c r="C360" s="7"/>
      <c r="D360" s="7"/>
      <c r="E360" s="8"/>
      <c r="F360" s="7"/>
      <c r="G360" s="9" t="str">
        <f aca="true">IF(B360="","",IF(F360="完了","✓ 完了",IF(E360="","⚠ 期限未設定",IF(E360&lt;TODAY(),"🔴 超過",IF(E360=TODAY(),"🟡 今日","")))))</f>
        <v/>
      </c>
      <c r="H360" s="6"/>
      <c r="I360" s="6"/>
      <c r="J360" s="8"/>
      <c r="K360" s="8"/>
    </row>
    <row r="361" customFormat="false" ht="15" hidden="false" customHeight="false" outlineLevel="0" collapsed="false">
      <c r="A361" s="5" t="str">
        <f aca="false">IF(B361="","",ROW()-3)</f>
        <v/>
      </c>
      <c r="B361" s="6"/>
      <c r="C361" s="7"/>
      <c r="D361" s="7"/>
      <c r="E361" s="8"/>
      <c r="F361" s="7"/>
      <c r="G361" s="9" t="str">
        <f aca="true">IF(B361="","",IF(F361="完了","✓ 完了",IF(E361="","⚠ 期限未設定",IF(E361&lt;TODAY(),"🔴 超過",IF(E361=TODAY(),"🟡 今日","")))))</f>
        <v/>
      </c>
      <c r="H361" s="6"/>
      <c r="I361" s="6"/>
      <c r="J361" s="8"/>
      <c r="K361" s="8"/>
    </row>
    <row r="362" customFormat="false" ht="15" hidden="false" customHeight="false" outlineLevel="0" collapsed="false">
      <c r="A362" s="5" t="str">
        <f aca="false">IF(B362="","",ROW()-3)</f>
        <v/>
      </c>
      <c r="B362" s="6"/>
      <c r="C362" s="7"/>
      <c r="D362" s="7"/>
      <c r="E362" s="8"/>
      <c r="F362" s="7"/>
      <c r="G362" s="9" t="str">
        <f aca="true">IF(B362="","",IF(F362="完了","✓ 完了",IF(E362="","⚠ 期限未設定",IF(E362&lt;TODAY(),"🔴 超過",IF(E362=TODAY(),"🟡 今日","")))))</f>
        <v/>
      </c>
      <c r="H362" s="6"/>
      <c r="I362" s="6"/>
      <c r="J362" s="8"/>
      <c r="K362" s="8"/>
    </row>
    <row r="363" customFormat="false" ht="15" hidden="false" customHeight="false" outlineLevel="0" collapsed="false">
      <c r="A363" s="5" t="str">
        <f aca="false">IF(B363="","",ROW()-3)</f>
        <v/>
      </c>
      <c r="B363" s="6"/>
      <c r="C363" s="7"/>
      <c r="D363" s="7"/>
      <c r="E363" s="8"/>
      <c r="F363" s="7"/>
      <c r="G363" s="9" t="str">
        <f aca="true">IF(B363="","",IF(F363="完了","✓ 完了",IF(E363="","⚠ 期限未設定",IF(E363&lt;TODAY(),"🔴 超過",IF(E363=TODAY(),"🟡 今日","")))))</f>
        <v/>
      </c>
      <c r="H363" s="6"/>
      <c r="I363" s="6"/>
      <c r="J363" s="8"/>
      <c r="K363" s="8"/>
    </row>
    <row r="364" customFormat="false" ht="15" hidden="false" customHeight="false" outlineLevel="0" collapsed="false">
      <c r="A364" s="5" t="str">
        <f aca="false">IF(B364="","",ROW()-3)</f>
        <v/>
      </c>
      <c r="B364" s="6"/>
      <c r="C364" s="7"/>
      <c r="D364" s="7"/>
      <c r="E364" s="8"/>
      <c r="F364" s="7"/>
      <c r="G364" s="9" t="str">
        <f aca="true">IF(B364="","",IF(F364="完了","✓ 完了",IF(E364="","⚠ 期限未設定",IF(E364&lt;TODAY(),"🔴 超過",IF(E364=TODAY(),"🟡 今日","")))))</f>
        <v/>
      </c>
      <c r="H364" s="6"/>
      <c r="I364" s="6"/>
      <c r="J364" s="8"/>
      <c r="K364" s="8"/>
    </row>
    <row r="365" customFormat="false" ht="15" hidden="false" customHeight="false" outlineLevel="0" collapsed="false">
      <c r="A365" s="5" t="str">
        <f aca="false">IF(B365="","",ROW()-3)</f>
        <v/>
      </c>
      <c r="B365" s="6"/>
      <c r="C365" s="7"/>
      <c r="D365" s="7"/>
      <c r="E365" s="8"/>
      <c r="F365" s="7"/>
      <c r="G365" s="9" t="str">
        <f aca="true">IF(B365="","",IF(F365="完了","✓ 完了",IF(E365="","⚠ 期限未設定",IF(E365&lt;TODAY(),"🔴 超過",IF(E365=TODAY(),"🟡 今日","")))))</f>
        <v/>
      </c>
      <c r="H365" s="6"/>
      <c r="I365" s="6"/>
      <c r="J365" s="8"/>
      <c r="K365" s="8"/>
    </row>
    <row r="366" customFormat="false" ht="15" hidden="false" customHeight="false" outlineLevel="0" collapsed="false">
      <c r="A366" s="5" t="str">
        <f aca="false">IF(B366="","",ROW()-3)</f>
        <v/>
      </c>
      <c r="B366" s="6"/>
      <c r="C366" s="7"/>
      <c r="D366" s="7"/>
      <c r="E366" s="8"/>
      <c r="F366" s="7"/>
      <c r="G366" s="9" t="str">
        <f aca="true">IF(B366="","",IF(F366="完了","✓ 完了",IF(E366="","⚠ 期限未設定",IF(E366&lt;TODAY(),"🔴 超過",IF(E366=TODAY(),"🟡 今日","")))))</f>
        <v/>
      </c>
      <c r="H366" s="6"/>
      <c r="I366" s="6"/>
      <c r="J366" s="8"/>
      <c r="K366" s="8"/>
    </row>
    <row r="367" customFormat="false" ht="15" hidden="false" customHeight="false" outlineLevel="0" collapsed="false">
      <c r="A367" s="5" t="str">
        <f aca="false">IF(B367="","",ROW()-3)</f>
        <v/>
      </c>
      <c r="B367" s="6"/>
      <c r="C367" s="7"/>
      <c r="D367" s="7"/>
      <c r="E367" s="8"/>
      <c r="F367" s="7"/>
      <c r="G367" s="9" t="str">
        <f aca="true">IF(B367="","",IF(F367="完了","✓ 完了",IF(E367="","⚠ 期限未設定",IF(E367&lt;TODAY(),"🔴 超過",IF(E367=TODAY(),"🟡 今日","")))))</f>
        <v/>
      </c>
      <c r="H367" s="6"/>
      <c r="I367" s="6"/>
      <c r="J367" s="8"/>
      <c r="K367" s="8"/>
    </row>
    <row r="368" customFormat="false" ht="15" hidden="false" customHeight="false" outlineLevel="0" collapsed="false">
      <c r="A368" s="5" t="str">
        <f aca="false">IF(B368="","",ROW()-3)</f>
        <v/>
      </c>
      <c r="B368" s="6"/>
      <c r="C368" s="7"/>
      <c r="D368" s="7"/>
      <c r="E368" s="8"/>
      <c r="F368" s="7"/>
      <c r="G368" s="9" t="str">
        <f aca="true">IF(B368="","",IF(F368="完了","✓ 完了",IF(E368="","⚠ 期限未設定",IF(E368&lt;TODAY(),"🔴 超過",IF(E368=TODAY(),"🟡 今日","")))))</f>
        <v/>
      </c>
      <c r="H368" s="6"/>
      <c r="I368" s="6"/>
      <c r="J368" s="8"/>
      <c r="K368" s="8"/>
    </row>
    <row r="369" customFormat="false" ht="15" hidden="false" customHeight="false" outlineLevel="0" collapsed="false">
      <c r="A369" s="5" t="str">
        <f aca="false">IF(B369="","",ROW()-3)</f>
        <v/>
      </c>
      <c r="B369" s="6"/>
      <c r="C369" s="7"/>
      <c r="D369" s="7"/>
      <c r="E369" s="8"/>
      <c r="F369" s="7"/>
      <c r="G369" s="9" t="str">
        <f aca="true">IF(B369="","",IF(F369="完了","✓ 完了",IF(E369="","⚠ 期限未設定",IF(E369&lt;TODAY(),"🔴 超過",IF(E369=TODAY(),"🟡 今日","")))))</f>
        <v/>
      </c>
      <c r="H369" s="6"/>
      <c r="I369" s="6"/>
      <c r="J369" s="8"/>
      <c r="K369" s="8"/>
    </row>
    <row r="370" customFormat="false" ht="15" hidden="false" customHeight="false" outlineLevel="0" collapsed="false">
      <c r="A370" s="5" t="str">
        <f aca="false">IF(B370="","",ROW()-3)</f>
        <v/>
      </c>
      <c r="B370" s="6"/>
      <c r="C370" s="7"/>
      <c r="D370" s="7"/>
      <c r="E370" s="8"/>
      <c r="F370" s="7"/>
      <c r="G370" s="9" t="str">
        <f aca="true">IF(B370="","",IF(F370="完了","✓ 完了",IF(E370="","⚠ 期限未設定",IF(E370&lt;TODAY(),"🔴 超過",IF(E370=TODAY(),"🟡 今日","")))))</f>
        <v/>
      </c>
      <c r="H370" s="6"/>
      <c r="I370" s="6"/>
      <c r="J370" s="8"/>
      <c r="K370" s="8"/>
    </row>
    <row r="371" customFormat="false" ht="15" hidden="false" customHeight="false" outlineLevel="0" collapsed="false">
      <c r="A371" s="5" t="str">
        <f aca="false">IF(B371="","",ROW()-3)</f>
        <v/>
      </c>
      <c r="B371" s="6"/>
      <c r="C371" s="7"/>
      <c r="D371" s="7"/>
      <c r="E371" s="8"/>
      <c r="F371" s="7"/>
      <c r="G371" s="9" t="str">
        <f aca="true">IF(B371="","",IF(F371="完了","✓ 完了",IF(E371="","⚠ 期限未設定",IF(E371&lt;TODAY(),"🔴 超過",IF(E371=TODAY(),"🟡 今日","")))))</f>
        <v/>
      </c>
      <c r="H371" s="6"/>
      <c r="I371" s="6"/>
      <c r="J371" s="8"/>
      <c r="K371" s="8"/>
    </row>
    <row r="372" customFormat="false" ht="15" hidden="false" customHeight="false" outlineLevel="0" collapsed="false">
      <c r="A372" s="5" t="str">
        <f aca="false">IF(B372="","",ROW()-3)</f>
        <v/>
      </c>
      <c r="B372" s="6"/>
      <c r="C372" s="7"/>
      <c r="D372" s="7"/>
      <c r="E372" s="8"/>
      <c r="F372" s="7"/>
      <c r="G372" s="9" t="str">
        <f aca="true">IF(B372="","",IF(F372="完了","✓ 完了",IF(E372="","⚠ 期限未設定",IF(E372&lt;TODAY(),"🔴 超過",IF(E372=TODAY(),"🟡 今日","")))))</f>
        <v/>
      </c>
      <c r="H372" s="6"/>
      <c r="I372" s="6"/>
      <c r="J372" s="8"/>
      <c r="K372" s="8"/>
    </row>
    <row r="373" customFormat="false" ht="15" hidden="false" customHeight="false" outlineLevel="0" collapsed="false">
      <c r="A373" s="5" t="str">
        <f aca="false">IF(B373="","",ROW()-3)</f>
        <v/>
      </c>
      <c r="B373" s="6"/>
      <c r="C373" s="7"/>
      <c r="D373" s="7"/>
      <c r="E373" s="8"/>
      <c r="F373" s="7"/>
      <c r="G373" s="9" t="str">
        <f aca="true">IF(B373="","",IF(F373="完了","✓ 完了",IF(E373="","⚠ 期限未設定",IF(E373&lt;TODAY(),"🔴 超過",IF(E373=TODAY(),"🟡 今日","")))))</f>
        <v/>
      </c>
      <c r="H373" s="6"/>
      <c r="I373" s="6"/>
      <c r="J373" s="8"/>
      <c r="K373" s="8"/>
    </row>
    <row r="374" customFormat="false" ht="15" hidden="false" customHeight="false" outlineLevel="0" collapsed="false">
      <c r="A374" s="5" t="str">
        <f aca="false">IF(B374="","",ROW()-3)</f>
        <v/>
      </c>
      <c r="B374" s="6"/>
      <c r="C374" s="7"/>
      <c r="D374" s="7"/>
      <c r="E374" s="8"/>
      <c r="F374" s="7"/>
      <c r="G374" s="9" t="str">
        <f aca="true">IF(B374="","",IF(F374="完了","✓ 完了",IF(E374="","⚠ 期限未設定",IF(E374&lt;TODAY(),"🔴 超過",IF(E374=TODAY(),"🟡 今日","")))))</f>
        <v/>
      </c>
      <c r="H374" s="6"/>
      <c r="I374" s="6"/>
      <c r="J374" s="8"/>
      <c r="K374" s="8"/>
    </row>
    <row r="375" customFormat="false" ht="15" hidden="false" customHeight="false" outlineLevel="0" collapsed="false">
      <c r="A375" s="5" t="str">
        <f aca="false">IF(B375="","",ROW()-3)</f>
        <v/>
      </c>
      <c r="B375" s="6"/>
      <c r="C375" s="7"/>
      <c r="D375" s="7"/>
      <c r="E375" s="8"/>
      <c r="F375" s="7"/>
      <c r="G375" s="9" t="str">
        <f aca="true">IF(B375="","",IF(F375="完了","✓ 完了",IF(E375="","⚠ 期限未設定",IF(E375&lt;TODAY(),"🔴 超過",IF(E375=TODAY(),"🟡 今日","")))))</f>
        <v/>
      </c>
      <c r="H375" s="6"/>
      <c r="I375" s="6"/>
      <c r="J375" s="8"/>
      <c r="K375" s="8"/>
    </row>
    <row r="376" customFormat="false" ht="15" hidden="false" customHeight="false" outlineLevel="0" collapsed="false">
      <c r="A376" s="5" t="str">
        <f aca="false">IF(B376="","",ROW()-3)</f>
        <v/>
      </c>
      <c r="B376" s="6"/>
      <c r="C376" s="7"/>
      <c r="D376" s="7"/>
      <c r="E376" s="8"/>
      <c r="F376" s="7"/>
      <c r="G376" s="9" t="str">
        <f aca="true">IF(B376="","",IF(F376="完了","✓ 完了",IF(E376="","⚠ 期限未設定",IF(E376&lt;TODAY(),"🔴 超過",IF(E376=TODAY(),"🟡 今日","")))))</f>
        <v/>
      </c>
      <c r="H376" s="6"/>
      <c r="I376" s="6"/>
      <c r="J376" s="8"/>
      <c r="K376" s="8"/>
    </row>
    <row r="377" customFormat="false" ht="15" hidden="false" customHeight="false" outlineLevel="0" collapsed="false">
      <c r="A377" s="5" t="str">
        <f aca="false">IF(B377="","",ROW()-3)</f>
        <v/>
      </c>
      <c r="B377" s="6"/>
      <c r="C377" s="7"/>
      <c r="D377" s="7"/>
      <c r="E377" s="8"/>
      <c r="F377" s="7"/>
      <c r="G377" s="9" t="str">
        <f aca="true">IF(B377="","",IF(F377="完了","✓ 完了",IF(E377="","⚠ 期限未設定",IF(E377&lt;TODAY(),"🔴 超過",IF(E377=TODAY(),"🟡 今日","")))))</f>
        <v/>
      </c>
      <c r="H377" s="6"/>
      <c r="I377" s="6"/>
      <c r="J377" s="8"/>
      <c r="K377" s="8"/>
    </row>
    <row r="378" customFormat="false" ht="15" hidden="false" customHeight="false" outlineLevel="0" collapsed="false">
      <c r="A378" s="5" t="str">
        <f aca="false">IF(B378="","",ROW()-3)</f>
        <v/>
      </c>
      <c r="B378" s="6"/>
      <c r="C378" s="7"/>
      <c r="D378" s="7"/>
      <c r="E378" s="8"/>
      <c r="F378" s="7"/>
      <c r="G378" s="9" t="str">
        <f aca="true">IF(B378="","",IF(F378="完了","✓ 完了",IF(E378="","⚠ 期限未設定",IF(E378&lt;TODAY(),"🔴 超過",IF(E378=TODAY(),"🟡 今日","")))))</f>
        <v/>
      </c>
      <c r="H378" s="6"/>
      <c r="I378" s="6"/>
      <c r="J378" s="8"/>
      <c r="K378" s="8"/>
    </row>
    <row r="379" customFormat="false" ht="15" hidden="false" customHeight="false" outlineLevel="0" collapsed="false">
      <c r="A379" s="5" t="str">
        <f aca="false">IF(B379="","",ROW()-3)</f>
        <v/>
      </c>
      <c r="B379" s="6"/>
      <c r="C379" s="7"/>
      <c r="D379" s="7"/>
      <c r="E379" s="8"/>
      <c r="F379" s="7"/>
      <c r="G379" s="9" t="str">
        <f aca="true">IF(B379="","",IF(F379="完了","✓ 完了",IF(E379="","⚠ 期限未設定",IF(E379&lt;TODAY(),"🔴 超過",IF(E379=TODAY(),"🟡 今日","")))))</f>
        <v/>
      </c>
      <c r="H379" s="6"/>
      <c r="I379" s="6"/>
      <c r="J379" s="8"/>
      <c r="K379" s="8"/>
    </row>
    <row r="380" customFormat="false" ht="15" hidden="false" customHeight="false" outlineLevel="0" collapsed="false">
      <c r="A380" s="5" t="str">
        <f aca="false">IF(B380="","",ROW()-3)</f>
        <v/>
      </c>
      <c r="B380" s="6"/>
      <c r="C380" s="7"/>
      <c r="D380" s="7"/>
      <c r="E380" s="8"/>
      <c r="F380" s="7"/>
      <c r="G380" s="9" t="str">
        <f aca="true">IF(B380="","",IF(F380="完了","✓ 完了",IF(E380="","⚠ 期限未設定",IF(E380&lt;TODAY(),"🔴 超過",IF(E380=TODAY(),"🟡 今日","")))))</f>
        <v/>
      </c>
      <c r="H380" s="6"/>
      <c r="I380" s="6"/>
      <c r="J380" s="8"/>
      <c r="K380" s="8"/>
    </row>
    <row r="381" customFormat="false" ht="15" hidden="false" customHeight="false" outlineLevel="0" collapsed="false">
      <c r="A381" s="5" t="str">
        <f aca="false">IF(B381="","",ROW()-3)</f>
        <v/>
      </c>
      <c r="B381" s="6"/>
      <c r="C381" s="7"/>
      <c r="D381" s="7"/>
      <c r="E381" s="8"/>
      <c r="F381" s="7"/>
      <c r="G381" s="9" t="str">
        <f aca="true">IF(B381="","",IF(F381="完了","✓ 完了",IF(E381="","⚠ 期限未設定",IF(E381&lt;TODAY(),"🔴 超過",IF(E381=TODAY(),"🟡 今日","")))))</f>
        <v/>
      </c>
      <c r="H381" s="6"/>
      <c r="I381" s="6"/>
      <c r="J381" s="8"/>
      <c r="K381" s="8"/>
    </row>
    <row r="382" customFormat="false" ht="15" hidden="false" customHeight="false" outlineLevel="0" collapsed="false">
      <c r="A382" s="5" t="str">
        <f aca="false">IF(B382="","",ROW()-3)</f>
        <v/>
      </c>
      <c r="B382" s="6"/>
      <c r="C382" s="7"/>
      <c r="D382" s="7"/>
      <c r="E382" s="8"/>
      <c r="F382" s="7"/>
      <c r="G382" s="9" t="str">
        <f aca="true">IF(B382="","",IF(F382="完了","✓ 完了",IF(E382="","⚠ 期限未設定",IF(E382&lt;TODAY(),"🔴 超過",IF(E382=TODAY(),"🟡 今日","")))))</f>
        <v/>
      </c>
      <c r="H382" s="6"/>
      <c r="I382" s="6"/>
      <c r="J382" s="8"/>
      <c r="K382" s="8"/>
    </row>
    <row r="383" customFormat="false" ht="15" hidden="false" customHeight="false" outlineLevel="0" collapsed="false">
      <c r="A383" s="5" t="str">
        <f aca="false">IF(B383="","",ROW()-3)</f>
        <v/>
      </c>
      <c r="B383" s="6"/>
      <c r="C383" s="7"/>
      <c r="D383" s="7"/>
      <c r="E383" s="8"/>
      <c r="F383" s="7"/>
      <c r="G383" s="9" t="str">
        <f aca="true">IF(B383="","",IF(F383="完了","✓ 完了",IF(E383="","⚠ 期限未設定",IF(E383&lt;TODAY(),"🔴 超過",IF(E383=TODAY(),"🟡 今日","")))))</f>
        <v/>
      </c>
      <c r="H383" s="6"/>
      <c r="I383" s="6"/>
      <c r="J383" s="8"/>
      <c r="K383" s="8"/>
    </row>
    <row r="384" customFormat="false" ht="15" hidden="false" customHeight="false" outlineLevel="0" collapsed="false">
      <c r="A384" s="5" t="str">
        <f aca="false">IF(B384="","",ROW()-3)</f>
        <v/>
      </c>
      <c r="B384" s="6"/>
      <c r="C384" s="7"/>
      <c r="D384" s="7"/>
      <c r="E384" s="8"/>
      <c r="F384" s="7"/>
      <c r="G384" s="9" t="str">
        <f aca="true">IF(B384="","",IF(F384="完了","✓ 完了",IF(E384="","⚠ 期限未設定",IF(E384&lt;TODAY(),"🔴 超過",IF(E384=TODAY(),"🟡 今日","")))))</f>
        <v/>
      </c>
      <c r="H384" s="6"/>
      <c r="I384" s="6"/>
      <c r="J384" s="8"/>
      <c r="K384" s="8"/>
    </row>
    <row r="385" customFormat="false" ht="15" hidden="false" customHeight="false" outlineLevel="0" collapsed="false">
      <c r="A385" s="5" t="str">
        <f aca="false">IF(B385="","",ROW()-3)</f>
        <v/>
      </c>
      <c r="B385" s="6"/>
      <c r="C385" s="7"/>
      <c r="D385" s="7"/>
      <c r="E385" s="8"/>
      <c r="F385" s="7"/>
      <c r="G385" s="9" t="str">
        <f aca="true">IF(B385="","",IF(F385="完了","✓ 完了",IF(E385="","⚠ 期限未設定",IF(E385&lt;TODAY(),"🔴 超過",IF(E385=TODAY(),"🟡 今日","")))))</f>
        <v/>
      </c>
      <c r="H385" s="6"/>
      <c r="I385" s="6"/>
      <c r="J385" s="8"/>
      <c r="K385" s="8"/>
    </row>
    <row r="386" customFormat="false" ht="15" hidden="false" customHeight="false" outlineLevel="0" collapsed="false">
      <c r="A386" s="5" t="str">
        <f aca="false">IF(B386="","",ROW()-3)</f>
        <v/>
      </c>
      <c r="B386" s="6"/>
      <c r="C386" s="7"/>
      <c r="D386" s="7"/>
      <c r="E386" s="8"/>
      <c r="F386" s="7"/>
      <c r="G386" s="9" t="str">
        <f aca="true">IF(B386="","",IF(F386="完了","✓ 完了",IF(E386="","⚠ 期限未設定",IF(E386&lt;TODAY(),"🔴 超過",IF(E386=TODAY(),"🟡 今日","")))))</f>
        <v/>
      </c>
      <c r="H386" s="6"/>
      <c r="I386" s="6"/>
      <c r="J386" s="8"/>
      <c r="K386" s="8"/>
    </row>
    <row r="387" customFormat="false" ht="15" hidden="false" customHeight="false" outlineLevel="0" collapsed="false">
      <c r="A387" s="5" t="str">
        <f aca="false">IF(B387="","",ROW()-3)</f>
        <v/>
      </c>
      <c r="B387" s="6"/>
      <c r="C387" s="7"/>
      <c r="D387" s="7"/>
      <c r="E387" s="8"/>
      <c r="F387" s="7"/>
      <c r="G387" s="9" t="str">
        <f aca="true">IF(B387="","",IF(F387="完了","✓ 完了",IF(E387="","⚠ 期限未設定",IF(E387&lt;TODAY(),"🔴 超過",IF(E387=TODAY(),"🟡 今日","")))))</f>
        <v/>
      </c>
      <c r="H387" s="6"/>
      <c r="I387" s="6"/>
      <c r="J387" s="8"/>
      <c r="K387" s="8"/>
    </row>
    <row r="388" customFormat="false" ht="15" hidden="false" customHeight="false" outlineLevel="0" collapsed="false">
      <c r="A388" s="5" t="str">
        <f aca="false">IF(B388="","",ROW()-3)</f>
        <v/>
      </c>
      <c r="B388" s="6"/>
      <c r="C388" s="7"/>
      <c r="D388" s="7"/>
      <c r="E388" s="8"/>
      <c r="F388" s="7"/>
      <c r="G388" s="9" t="str">
        <f aca="true">IF(B388="","",IF(F388="完了","✓ 完了",IF(E388="","⚠ 期限未設定",IF(E388&lt;TODAY(),"🔴 超過",IF(E388=TODAY(),"🟡 今日","")))))</f>
        <v/>
      </c>
      <c r="H388" s="6"/>
      <c r="I388" s="6"/>
      <c r="J388" s="8"/>
      <c r="K388" s="8"/>
    </row>
    <row r="389" customFormat="false" ht="15" hidden="false" customHeight="false" outlineLevel="0" collapsed="false">
      <c r="A389" s="5" t="str">
        <f aca="false">IF(B389="","",ROW()-3)</f>
        <v/>
      </c>
      <c r="B389" s="6"/>
      <c r="C389" s="7"/>
      <c r="D389" s="7"/>
      <c r="E389" s="8"/>
      <c r="F389" s="7"/>
      <c r="G389" s="9" t="str">
        <f aca="true">IF(B389="","",IF(F389="完了","✓ 完了",IF(E389="","⚠ 期限未設定",IF(E389&lt;TODAY(),"🔴 超過",IF(E389=TODAY(),"🟡 今日","")))))</f>
        <v/>
      </c>
      <c r="H389" s="6"/>
      <c r="I389" s="6"/>
      <c r="J389" s="8"/>
      <c r="K389" s="8"/>
    </row>
    <row r="390" customFormat="false" ht="15" hidden="false" customHeight="false" outlineLevel="0" collapsed="false">
      <c r="A390" s="5" t="str">
        <f aca="false">IF(B390="","",ROW()-3)</f>
        <v/>
      </c>
      <c r="B390" s="6"/>
      <c r="C390" s="7"/>
      <c r="D390" s="7"/>
      <c r="E390" s="8"/>
      <c r="F390" s="7"/>
      <c r="G390" s="9" t="str">
        <f aca="true">IF(B390="","",IF(F390="完了","✓ 完了",IF(E390="","⚠ 期限未設定",IF(E390&lt;TODAY(),"🔴 超過",IF(E390=TODAY(),"🟡 今日","")))))</f>
        <v/>
      </c>
      <c r="H390" s="6"/>
      <c r="I390" s="6"/>
      <c r="J390" s="8"/>
      <c r="K390" s="8"/>
    </row>
    <row r="391" customFormat="false" ht="15" hidden="false" customHeight="false" outlineLevel="0" collapsed="false">
      <c r="A391" s="5" t="str">
        <f aca="false">IF(B391="","",ROW()-3)</f>
        <v/>
      </c>
      <c r="B391" s="6"/>
      <c r="C391" s="7"/>
      <c r="D391" s="7"/>
      <c r="E391" s="8"/>
      <c r="F391" s="7"/>
      <c r="G391" s="9" t="str">
        <f aca="true">IF(B391="","",IF(F391="完了","✓ 完了",IF(E391="","⚠ 期限未設定",IF(E391&lt;TODAY(),"🔴 超過",IF(E391=TODAY(),"🟡 今日","")))))</f>
        <v/>
      </c>
      <c r="H391" s="6"/>
      <c r="I391" s="6"/>
      <c r="J391" s="8"/>
      <c r="K391" s="8"/>
    </row>
    <row r="392" customFormat="false" ht="15" hidden="false" customHeight="false" outlineLevel="0" collapsed="false">
      <c r="A392" s="5" t="str">
        <f aca="false">IF(B392="","",ROW()-3)</f>
        <v/>
      </c>
      <c r="B392" s="6"/>
      <c r="C392" s="7"/>
      <c r="D392" s="7"/>
      <c r="E392" s="8"/>
      <c r="F392" s="7"/>
      <c r="G392" s="9" t="str">
        <f aca="true">IF(B392="","",IF(F392="完了","✓ 完了",IF(E392="","⚠ 期限未設定",IF(E392&lt;TODAY(),"🔴 超過",IF(E392=TODAY(),"🟡 今日","")))))</f>
        <v/>
      </c>
      <c r="H392" s="6"/>
      <c r="I392" s="6"/>
      <c r="J392" s="8"/>
      <c r="K392" s="8"/>
    </row>
    <row r="393" customFormat="false" ht="15" hidden="false" customHeight="false" outlineLevel="0" collapsed="false">
      <c r="A393" s="5" t="str">
        <f aca="false">IF(B393="","",ROW()-3)</f>
        <v/>
      </c>
      <c r="B393" s="6"/>
      <c r="C393" s="7"/>
      <c r="D393" s="7"/>
      <c r="E393" s="8"/>
      <c r="F393" s="7"/>
      <c r="G393" s="9" t="str">
        <f aca="true">IF(B393="","",IF(F393="完了","✓ 完了",IF(E393="","⚠ 期限未設定",IF(E393&lt;TODAY(),"🔴 超過",IF(E393=TODAY(),"🟡 今日","")))))</f>
        <v/>
      </c>
      <c r="H393" s="6"/>
      <c r="I393" s="6"/>
      <c r="J393" s="8"/>
      <c r="K393" s="8"/>
    </row>
    <row r="394" customFormat="false" ht="15" hidden="false" customHeight="false" outlineLevel="0" collapsed="false">
      <c r="A394" s="5" t="str">
        <f aca="false">IF(B394="","",ROW()-3)</f>
        <v/>
      </c>
      <c r="B394" s="6"/>
      <c r="C394" s="7"/>
      <c r="D394" s="7"/>
      <c r="E394" s="8"/>
      <c r="F394" s="7"/>
      <c r="G394" s="9" t="str">
        <f aca="true">IF(B394="","",IF(F394="完了","✓ 完了",IF(E394="","⚠ 期限未設定",IF(E394&lt;TODAY(),"🔴 超過",IF(E394=TODAY(),"🟡 今日","")))))</f>
        <v/>
      </c>
      <c r="H394" s="6"/>
      <c r="I394" s="6"/>
      <c r="J394" s="8"/>
      <c r="K394" s="8"/>
    </row>
    <row r="395" customFormat="false" ht="15" hidden="false" customHeight="false" outlineLevel="0" collapsed="false">
      <c r="A395" s="5" t="str">
        <f aca="false">IF(B395="","",ROW()-3)</f>
        <v/>
      </c>
      <c r="B395" s="6"/>
      <c r="C395" s="7"/>
      <c r="D395" s="7"/>
      <c r="E395" s="8"/>
      <c r="F395" s="7"/>
      <c r="G395" s="9" t="str">
        <f aca="true">IF(B395="","",IF(F395="完了","✓ 完了",IF(E395="","⚠ 期限未設定",IF(E395&lt;TODAY(),"🔴 超過",IF(E395=TODAY(),"🟡 今日","")))))</f>
        <v/>
      </c>
      <c r="H395" s="6"/>
      <c r="I395" s="6"/>
      <c r="J395" s="8"/>
      <c r="K395" s="8"/>
    </row>
    <row r="396" customFormat="false" ht="15" hidden="false" customHeight="false" outlineLevel="0" collapsed="false">
      <c r="A396" s="5" t="str">
        <f aca="false">IF(B396="","",ROW()-3)</f>
        <v/>
      </c>
      <c r="B396" s="6"/>
      <c r="C396" s="7"/>
      <c r="D396" s="7"/>
      <c r="E396" s="8"/>
      <c r="F396" s="7"/>
      <c r="G396" s="9" t="str">
        <f aca="true">IF(B396="","",IF(F396="完了","✓ 完了",IF(E396="","⚠ 期限未設定",IF(E396&lt;TODAY(),"🔴 超過",IF(E396=TODAY(),"🟡 今日","")))))</f>
        <v/>
      </c>
      <c r="H396" s="6"/>
      <c r="I396" s="6"/>
      <c r="J396" s="8"/>
      <c r="K396" s="8"/>
    </row>
    <row r="397" customFormat="false" ht="15" hidden="false" customHeight="false" outlineLevel="0" collapsed="false">
      <c r="A397" s="5" t="str">
        <f aca="false">IF(B397="","",ROW()-3)</f>
        <v/>
      </c>
      <c r="B397" s="6"/>
      <c r="C397" s="7"/>
      <c r="D397" s="7"/>
      <c r="E397" s="8"/>
      <c r="F397" s="7"/>
      <c r="G397" s="9" t="str">
        <f aca="true">IF(B397="","",IF(F397="完了","✓ 完了",IF(E397="","⚠ 期限未設定",IF(E397&lt;TODAY(),"🔴 超過",IF(E397=TODAY(),"🟡 今日","")))))</f>
        <v/>
      </c>
      <c r="H397" s="6"/>
      <c r="I397" s="6"/>
      <c r="J397" s="8"/>
      <c r="K397" s="8"/>
    </row>
    <row r="398" customFormat="false" ht="15" hidden="false" customHeight="false" outlineLevel="0" collapsed="false">
      <c r="A398" s="5" t="str">
        <f aca="false">IF(B398="","",ROW()-3)</f>
        <v/>
      </c>
      <c r="B398" s="6"/>
      <c r="C398" s="7"/>
      <c r="D398" s="7"/>
      <c r="E398" s="8"/>
      <c r="F398" s="7"/>
      <c r="G398" s="9" t="str">
        <f aca="true">IF(B398="","",IF(F398="完了","✓ 完了",IF(E398="","⚠ 期限未設定",IF(E398&lt;TODAY(),"🔴 超過",IF(E398=TODAY(),"🟡 今日","")))))</f>
        <v/>
      </c>
      <c r="H398" s="6"/>
      <c r="I398" s="6"/>
      <c r="J398" s="8"/>
      <c r="K398" s="8"/>
    </row>
    <row r="399" customFormat="false" ht="15" hidden="false" customHeight="false" outlineLevel="0" collapsed="false">
      <c r="A399" s="5" t="str">
        <f aca="false">IF(B399="","",ROW()-3)</f>
        <v/>
      </c>
      <c r="B399" s="6"/>
      <c r="C399" s="7"/>
      <c r="D399" s="7"/>
      <c r="E399" s="8"/>
      <c r="F399" s="7"/>
      <c r="G399" s="9" t="str">
        <f aca="true">IF(B399="","",IF(F399="完了","✓ 完了",IF(E399="","⚠ 期限未設定",IF(E399&lt;TODAY(),"🔴 超過",IF(E399=TODAY(),"🟡 今日","")))))</f>
        <v/>
      </c>
      <c r="H399" s="6"/>
      <c r="I399" s="6"/>
      <c r="J399" s="8"/>
      <c r="K399" s="8"/>
    </row>
    <row r="400" customFormat="false" ht="15" hidden="false" customHeight="false" outlineLevel="0" collapsed="false">
      <c r="A400" s="5" t="str">
        <f aca="false">IF(B400="","",ROW()-3)</f>
        <v/>
      </c>
      <c r="B400" s="6"/>
      <c r="C400" s="7"/>
      <c r="D400" s="7"/>
      <c r="E400" s="8"/>
      <c r="F400" s="7"/>
      <c r="G400" s="9" t="str">
        <f aca="true">IF(B400="","",IF(F400="完了","✓ 完了",IF(E400="","⚠ 期限未設定",IF(E400&lt;TODAY(),"🔴 超過",IF(E400=TODAY(),"🟡 今日","")))))</f>
        <v/>
      </c>
      <c r="H400" s="6"/>
      <c r="I400" s="6"/>
      <c r="J400" s="8"/>
      <c r="K400" s="8"/>
    </row>
    <row r="401" customFormat="false" ht="15" hidden="false" customHeight="false" outlineLevel="0" collapsed="false">
      <c r="A401" s="5" t="str">
        <f aca="false">IF(B401="","",ROW()-3)</f>
        <v/>
      </c>
      <c r="B401" s="6"/>
      <c r="C401" s="7"/>
      <c r="D401" s="7"/>
      <c r="E401" s="8"/>
      <c r="F401" s="7"/>
      <c r="G401" s="9" t="str">
        <f aca="true">IF(B401="","",IF(F401="完了","✓ 完了",IF(E401="","⚠ 期限未設定",IF(E401&lt;TODAY(),"🔴 超過",IF(E401=TODAY(),"🟡 今日","")))))</f>
        <v/>
      </c>
      <c r="H401" s="6"/>
      <c r="I401" s="6"/>
      <c r="J401" s="8"/>
      <c r="K401" s="8"/>
    </row>
    <row r="402" customFormat="false" ht="15" hidden="false" customHeight="false" outlineLevel="0" collapsed="false">
      <c r="A402" s="5" t="str">
        <f aca="false">IF(B402="","",ROW()-3)</f>
        <v/>
      </c>
      <c r="B402" s="6"/>
      <c r="C402" s="7"/>
      <c r="D402" s="7"/>
      <c r="E402" s="8"/>
      <c r="F402" s="7"/>
      <c r="G402" s="9" t="str">
        <f aca="true">IF(B402="","",IF(F402="完了","✓ 完了",IF(E402="","⚠ 期限未設定",IF(E402&lt;TODAY(),"🔴 超過",IF(E402=TODAY(),"🟡 今日","")))))</f>
        <v/>
      </c>
      <c r="H402" s="6"/>
      <c r="I402" s="6"/>
      <c r="J402" s="8"/>
      <c r="K402" s="8"/>
    </row>
    <row r="403" customFormat="false" ht="15" hidden="false" customHeight="false" outlineLevel="0" collapsed="false">
      <c r="A403" s="5" t="str">
        <f aca="false">IF(B403="","",ROW()-3)</f>
        <v/>
      </c>
      <c r="B403" s="6"/>
      <c r="C403" s="7"/>
      <c r="D403" s="7"/>
      <c r="E403" s="8"/>
      <c r="F403" s="7"/>
      <c r="G403" s="9" t="str">
        <f aca="true">IF(B403="","",IF(F403="完了","✓ 完了",IF(E403="","⚠ 期限未設定",IF(E403&lt;TODAY(),"🔴 超過",IF(E403=TODAY(),"🟡 今日","")))))</f>
        <v/>
      </c>
      <c r="H403" s="6"/>
      <c r="I403" s="6"/>
      <c r="J403" s="8"/>
      <c r="K403" s="8"/>
    </row>
    <row r="404" customFormat="false" ht="15" hidden="false" customHeight="false" outlineLevel="0" collapsed="false">
      <c r="A404" s="5" t="str">
        <f aca="false">IF(B404="","",ROW()-3)</f>
        <v/>
      </c>
      <c r="B404" s="6"/>
      <c r="C404" s="7"/>
      <c r="D404" s="7"/>
      <c r="E404" s="8"/>
      <c r="F404" s="7"/>
      <c r="G404" s="9" t="str">
        <f aca="true">IF(B404="","",IF(F404="完了","✓ 完了",IF(E404="","⚠ 期限未設定",IF(E404&lt;TODAY(),"🔴 超過",IF(E404=TODAY(),"🟡 今日","")))))</f>
        <v/>
      </c>
      <c r="H404" s="6"/>
      <c r="I404" s="6"/>
      <c r="J404" s="8"/>
      <c r="K404" s="8"/>
    </row>
    <row r="405" customFormat="false" ht="15" hidden="false" customHeight="false" outlineLevel="0" collapsed="false">
      <c r="A405" s="5" t="str">
        <f aca="false">IF(B405="","",ROW()-3)</f>
        <v/>
      </c>
      <c r="B405" s="6"/>
      <c r="C405" s="7"/>
      <c r="D405" s="7"/>
      <c r="E405" s="8"/>
      <c r="F405" s="7"/>
      <c r="G405" s="9" t="str">
        <f aca="true">IF(B405="","",IF(F405="完了","✓ 完了",IF(E405="","⚠ 期限未設定",IF(E405&lt;TODAY(),"🔴 超過",IF(E405=TODAY(),"🟡 今日","")))))</f>
        <v/>
      </c>
      <c r="H405" s="6"/>
      <c r="I405" s="6"/>
      <c r="J405" s="8"/>
      <c r="K405" s="8"/>
    </row>
    <row r="406" customFormat="false" ht="15" hidden="false" customHeight="false" outlineLevel="0" collapsed="false">
      <c r="A406" s="5" t="str">
        <f aca="false">IF(B406="","",ROW()-3)</f>
        <v/>
      </c>
      <c r="B406" s="6"/>
      <c r="C406" s="7"/>
      <c r="D406" s="7"/>
      <c r="E406" s="8"/>
      <c r="F406" s="7"/>
      <c r="G406" s="9" t="str">
        <f aca="true">IF(B406="","",IF(F406="完了","✓ 完了",IF(E406="","⚠ 期限未設定",IF(E406&lt;TODAY(),"🔴 超過",IF(E406=TODAY(),"🟡 今日","")))))</f>
        <v/>
      </c>
      <c r="H406" s="6"/>
      <c r="I406" s="6"/>
      <c r="J406" s="8"/>
      <c r="K406" s="8"/>
    </row>
    <row r="407" customFormat="false" ht="15" hidden="false" customHeight="false" outlineLevel="0" collapsed="false">
      <c r="A407" s="5" t="str">
        <f aca="false">IF(B407="","",ROW()-3)</f>
        <v/>
      </c>
      <c r="B407" s="6"/>
      <c r="C407" s="7"/>
      <c r="D407" s="7"/>
      <c r="E407" s="8"/>
      <c r="F407" s="7"/>
      <c r="G407" s="9" t="str">
        <f aca="true">IF(B407="","",IF(F407="完了","✓ 完了",IF(E407="","⚠ 期限未設定",IF(E407&lt;TODAY(),"🔴 超過",IF(E407=TODAY(),"🟡 今日","")))))</f>
        <v/>
      </c>
      <c r="H407" s="6"/>
      <c r="I407" s="6"/>
      <c r="J407" s="8"/>
      <c r="K407" s="8"/>
    </row>
    <row r="408" customFormat="false" ht="15" hidden="false" customHeight="false" outlineLevel="0" collapsed="false">
      <c r="A408" s="5" t="str">
        <f aca="false">IF(B408="","",ROW()-3)</f>
        <v/>
      </c>
      <c r="B408" s="6"/>
      <c r="C408" s="7"/>
      <c r="D408" s="7"/>
      <c r="E408" s="8"/>
      <c r="F408" s="7"/>
      <c r="G408" s="9" t="str">
        <f aca="true">IF(B408="","",IF(F408="完了","✓ 完了",IF(E408="","⚠ 期限未設定",IF(E408&lt;TODAY(),"🔴 超過",IF(E408=TODAY(),"🟡 今日","")))))</f>
        <v/>
      </c>
      <c r="H408" s="6"/>
      <c r="I408" s="6"/>
      <c r="J408" s="8"/>
      <c r="K408" s="8"/>
    </row>
    <row r="409" customFormat="false" ht="15" hidden="false" customHeight="false" outlineLevel="0" collapsed="false">
      <c r="A409" s="5" t="str">
        <f aca="false">IF(B409="","",ROW()-3)</f>
        <v/>
      </c>
      <c r="B409" s="6"/>
      <c r="C409" s="7"/>
      <c r="D409" s="7"/>
      <c r="E409" s="8"/>
      <c r="F409" s="7"/>
      <c r="G409" s="9" t="str">
        <f aca="true">IF(B409="","",IF(F409="完了","✓ 完了",IF(E409="","⚠ 期限未設定",IF(E409&lt;TODAY(),"🔴 超過",IF(E409=TODAY(),"🟡 今日","")))))</f>
        <v/>
      </c>
      <c r="H409" s="6"/>
      <c r="I409" s="6"/>
      <c r="J409" s="8"/>
      <c r="K409" s="8"/>
    </row>
    <row r="410" customFormat="false" ht="15" hidden="false" customHeight="false" outlineLevel="0" collapsed="false">
      <c r="A410" s="5" t="str">
        <f aca="false">IF(B410="","",ROW()-3)</f>
        <v/>
      </c>
      <c r="B410" s="6"/>
      <c r="C410" s="7"/>
      <c r="D410" s="7"/>
      <c r="E410" s="8"/>
      <c r="F410" s="7"/>
      <c r="G410" s="9" t="str">
        <f aca="true">IF(B410="","",IF(F410="完了","✓ 完了",IF(E410="","⚠ 期限未設定",IF(E410&lt;TODAY(),"🔴 超過",IF(E410=TODAY(),"🟡 今日","")))))</f>
        <v/>
      </c>
      <c r="H410" s="6"/>
      <c r="I410" s="6"/>
      <c r="J410" s="8"/>
      <c r="K410" s="8"/>
    </row>
    <row r="411" customFormat="false" ht="15" hidden="false" customHeight="false" outlineLevel="0" collapsed="false">
      <c r="A411" s="5" t="str">
        <f aca="false">IF(B411="","",ROW()-3)</f>
        <v/>
      </c>
      <c r="B411" s="6"/>
      <c r="C411" s="7"/>
      <c r="D411" s="7"/>
      <c r="E411" s="8"/>
      <c r="F411" s="7"/>
      <c r="G411" s="9" t="str">
        <f aca="true">IF(B411="","",IF(F411="完了","✓ 完了",IF(E411="","⚠ 期限未設定",IF(E411&lt;TODAY(),"🔴 超過",IF(E411=TODAY(),"🟡 今日","")))))</f>
        <v/>
      </c>
      <c r="H411" s="6"/>
      <c r="I411" s="6"/>
      <c r="J411" s="8"/>
      <c r="K411" s="8"/>
    </row>
    <row r="412" customFormat="false" ht="15" hidden="false" customHeight="false" outlineLevel="0" collapsed="false">
      <c r="A412" s="5" t="str">
        <f aca="false">IF(B412="","",ROW()-3)</f>
        <v/>
      </c>
      <c r="B412" s="6"/>
      <c r="C412" s="7"/>
      <c r="D412" s="7"/>
      <c r="E412" s="8"/>
      <c r="F412" s="7"/>
      <c r="G412" s="9" t="str">
        <f aca="true">IF(B412="","",IF(F412="完了","✓ 完了",IF(E412="","⚠ 期限未設定",IF(E412&lt;TODAY(),"🔴 超過",IF(E412=TODAY(),"🟡 今日","")))))</f>
        <v/>
      </c>
      <c r="H412" s="6"/>
      <c r="I412" s="6"/>
      <c r="J412" s="8"/>
      <c r="K412" s="8"/>
    </row>
    <row r="413" customFormat="false" ht="15" hidden="false" customHeight="false" outlineLevel="0" collapsed="false">
      <c r="A413" s="5" t="str">
        <f aca="false">IF(B413="","",ROW()-3)</f>
        <v/>
      </c>
      <c r="B413" s="6"/>
      <c r="C413" s="7"/>
      <c r="D413" s="7"/>
      <c r="E413" s="8"/>
      <c r="F413" s="7"/>
      <c r="G413" s="9" t="str">
        <f aca="true">IF(B413="","",IF(F413="完了","✓ 完了",IF(E413="","⚠ 期限未設定",IF(E413&lt;TODAY(),"🔴 超過",IF(E413=TODAY(),"🟡 今日","")))))</f>
        <v/>
      </c>
      <c r="H413" s="6"/>
      <c r="I413" s="6"/>
      <c r="J413" s="8"/>
      <c r="K413" s="8"/>
    </row>
    <row r="414" customFormat="false" ht="15" hidden="false" customHeight="false" outlineLevel="0" collapsed="false">
      <c r="A414" s="5" t="str">
        <f aca="false">IF(B414="","",ROW()-3)</f>
        <v/>
      </c>
      <c r="B414" s="6"/>
      <c r="C414" s="7"/>
      <c r="D414" s="7"/>
      <c r="E414" s="8"/>
      <c r="F414" s="7"/>
      <c r="G414" s="9" t="str">
        <f aca="true">IF(B414="","",IF(F414="完了","✓ 完了",IF(E414="","⚠ 期限未設定",IF(E414&lt;TODAY(),"🔴 超過",IF(E414=TODAY(),"🟡 今日","")))))</f>
        <v/>
      </c>
      <c r="H414" s="6"/>
      <c r="I414" s="6"/>
      <c r="J414" s="8"/>
      <c r="K414" s="8"/>
    </row>
    <row r="415" customFormat="false" ht="15" hidden="false" customHeight="false" outlineLevel="0" collapsed="false">
      <c r="A415" s="5" t="str">
        <f aca="false">IF(B415="","",ROW()-3)</f>
        <v/>
      </c>
      <c r="B415" s="6"/>
      <c r="C415" s="7"/>
      <c r="D415" s="7"/>
      <c r="E415" s="8"/>
      <c r="F415" s="7"/>
      <c r="G415" s="9" t="str">
        <f aca="true">IF(B415="","",IF(F415="完了","✓ 完了",IF(E415="","⚠ 期限未設定",IF(E415&lt;TODAY(),"🔴 超過",IF(E415=TODAY(),"🟡 今日","")))))</f>
        <v/>
      </c>
      <c r="H415" s="6"/>
      <c r="I415" s="6"/>
      <c r="J415" s="8"/>
      <c r="K415" s="8"/>
    </row>
    <row r="416" customFormat="false" ht="15" hidden="false" customHeight="false" outlineLevel="0" collapsed="false">
      <c r="A416" s="5" t="str">
        <f aca="false">IF(B416="","",ROW()-3)</f>
        <v/>
      </c>
      <c r="B416" s="6"/>
      <c r="C416" s="7"/>
      <c r="D416" s="7"/>
      <c r="E416" s="8"/>
      <c r="F416" s="7"/>
      <c r="G416" s="9" t="str">
        <f aca="true">IF(B416="","",IF(F416="完了","✓ 完了",IF(E416="","⚠ 期限未設定",IF(E416&lt;TODAY(),"🔴 超過",IF(E416=TODAY(),"🟡 今日","")))))</f>
        <v/>
      </c>
      <c r="H416" s="6"/>
      <c r="I416" s="6"/>
      <c r="J416" s="8"/>
      <c r="K416" s="8"/>
    </row>
    <row r="417" customFormat="false" ht="15" hidden="false" customHeight="false" outlineLevel="0" collapsed="false">
      <c r="A417" s="5" t="str">
        <f aca="false">IF(B417="","",ROW()-3)</f>
        <v/>
      </c>
      <c r="B417" s="6"/>
      <c r="C417" s="7"/>
      <c r="D417" s="7"/>
      <c r="E417" s="8"/>
      <c r="F417" s="7"/>
      <c r="G417" s="9" t="str">
        <f aca="true">IF(B417="","",IF(F417="完了","✓ 完了",IF(E417="","⚠ 期限未設定",IF(E417&lt;TODAY(),"🔴 超過",IF(E417=TODAY(),"🟡 今日","")))))</f>
        <v/>
      </c>
      <c r="H417" s="6"/>
      <c r="I417" s="6"/>
      <c r="J417" s="8"/>
      <c r="K417" s="8"/>
    </row>
    <row r="418" customFormat="false" ht="15" hidden="false" customHeight="false" outlineLevel="0" collapsed="false">
      <c r="A418" s="5" t="str">
        <f aca="false">IF(B418="","",ROW()-3)</f>
        <v/>
      </c>
      <c r="B418" s="6"/>
      <c r="C418" s="7"/>
      <c r="D418" s="7"/>
      <c r="E418" s="8"/>
      <c r="F418" s="7"/>
      <c r="G418" s="9" t="str">
        <f aca="true">IF(B418="","",IF(F418="完了","✓ 完了",IF(E418="","⚠ 期限未設定",IF(E418&lt;TODAY(),"🔴 超過",IF(E418=TODAY(),"🟡 今日","")))))</f>
        <v/>
      </c>
      <c r="H418" s="6"/>
      <c r="I418" s="6"/>
      <c r="J418" s="8"/>
      <c r="K418" s="8"/>
    </row>
    <row r="419" customFormat="false" ht="15" hidden="false" customHeight="false" outlineLevel="0" collapsed="false">
      <c r="A419" s="5" t="str">
        <f aca="false">IF(B419="","",ROW()-3)</f>
        <v/>
      </c>
      <c r="B419" s="6"/>
      <c r="C419" s="7"/>
      <c r="D419" s="7"/>
      <c r="E419" s="8"/>
      <c r="F419" s="7"/>
      <c r="G419" s="9" t="str">
        <f aca="true">IF(B419="","",IF(F419="完了","✓ 完了",IF(E419="","⚠ 期限未設定",IF(E419&lt;TODAY(),"🔴 超過",IF(E419=TODAY(),"🟡 今日","")))))</f>
        <v/>
      </c>
      <c r="H419" s="6"/>
      <c r="I419" s="6"/>
      <c r="J419" s="8"/>
      <c r="K419" s="8"/>
    </row>
    <row r="420" customFormat="false" ht="15" hidden="false" customHeight="false" outlineLevel="0" collapsed="false">
      <c r="A420" s="5" t="str">
        <f aca="false">IF(B420="","",ROW()-3)</f>
        <v/>
      </c>
      <c r="B420" s="6"/>
      <c r="C420" s="7"/>
      <c r="D420" s="7"/>
      <c r="E420" s="8"/>
      <c r="F420" s="7"/>
      <c r="G420" s="9" t="str">
        <f aca="true">IF(B420="","",IF(F420="完了","✓ 完了",IF(E420="","⚠ 期限未設定",IF(E420&lt;TODAY(),"🔴 超過",IF(E420=TODAY(),"🟡 今日","")))))</f>
        <v/>
      </c>
      <c r="H420" s="6"/>
      <c r="I420" s="6"/>
      <c r="J420" s="8"/>
      <c r="K420" s="8"/>
    </row>
    <row r="421" customFormat="false" ht="15" hidden="false" customHeight="false" outlineLevel="0" collapsed="false">
      <c r="A421" s="5" t="str">
        <f aca="false">IF(B421="","",ROW()-3)</f>
        <v/>
      </c>
      <c r="B421" s="6"/>
      <c r="C421" s="7"/>
      <c r="D421" s="7"/>
      <c r="E421" s="8"/>
      <c r="F421" s="7"/>
      <c r="G421" s="9" t="str">
        <f aca="true">IF(B421="","",IF(F421="完了","✓ 完了",IF(E421="","⚠ 期限未設定",IF(E421&lt;TODAY(),"🔴 超過",IF(E421=TODAY(),"🟡 今日","")))))</f>
        <v/>
      </c>
      <c r="H421" s="6"/>
      <c r="I421" s="6"/>
      <c r="J421" s="8"/>
      <c r="K421" s="8"/>
    </row>
    <row r="422" customFormat="false" ht="15" hidden="false" customHeight="false" outlineLevel="0" collapsed="false">
      <c r="A422" s="5" t="str">
        <f aca="false">IF(B422="","",ROW()-3)</f>
        <v/>
      </c>
      <c r="B422" s="6"/>
      <c r="C422" s="7"/>
      <c r="D422" s="7"/>
      <c r="E422" s="8"/>
      <c r="F422" s="7"/>
      <c r="G422" s="9" t="str">
        <f aca="true">IF(B422="","",IF(F422="完了","✓ 完了",IF(E422="","⚠ 期限未設定",IF(E422&lt;TODAY(),"🔴 超過",IF(E422=TODAY(),"🟡 今日","")))))</f>
        <v/>
      </c>
      <c r="H422" s="6"/>
      <c r="I422" s="6"/>
      <c r="J422" s="8"/>
      <c r="K422" s="8"/>
    </row>
    <row r="423" customFormat="false" ht="15" hidden="false" customHeight="false" outlineLevel="0" collapsed="false">
      <c r="A423" s="5" t="str">
        <f aca="false">IF(B423="","",ROW()-3)</f>
        <v/>
      </c>
      <c r="B423" s="6"/>
      <c r="C423" s="7"/>
      <c r="D423" s="7"/>
      <c r="E423" s="8"/>
      <c r="F423" s="7"/>
      <c r="G423" s="9" t="str">
        <f aca="true">IF(B423="","",IF(F423="完了","✓ 完了",IF(E423="","⚠ 期限未設定",IF(E423&lt;TODAY(),"🔴 超過",IF(E423=TODAY(),"🟡 今日","")))))</f>
        <v/>
      </c>
      <c r="H423" s="6"/>
      <c r="I423" s="6"/>
      <c r="J423" s="8"/>
      <c r="K423" s="8"/>
    </row>
    <row r="424" customFormat="false" ht="15" hidden="false" customHeight="false" outlineLevel="0" collapsed="false">
      <c r="A424" s="5" t="str">
        <f aca="false">IF(B424="","",ROW()-3)</f>
        <v/>
      </c>
      <c r="B424" s="6"/>
      <c r="C424" s="7"/>
      <c r="D424" s="7"/>
      <c r="E424" s="8"/>
      <c r="F424" s="7"/>
      <c r="G424" s="9" t="str">
        <f aca="true">IF(B424="","",IF(F424="完了","✓ 完了",IF(E424="","⚠ 期限未設定",IF(E424&lt;TODAY(),"🔴 超過",IF(E424=TODAY(),"🟡 今日","")))))</f>
        <v/>
      </c>
      <c r="H424" s="6"/>
      <c r="I424" s="6"/>
      <c r="J424" s="8"/>
      <c r="K424" s="8"/>
    </row>
    <row r="425" customFormat="false" ht="15" hidden="false" customHeight="false" outlineLevel="0" collapsed="false">
      <c r="A425" s="5" t="str">
        <f aca="false">IF(B425="","",ROW()-3)</f>
        <v/>
      </c>
      <c r="B425" s="6"/>
      <c r="C425" s="7"/>
      <c r="D425" s="7"/>
      <c r="E425" s="8"/>
      <c r="F425" s="7"/>
      <c r="G425" s="9" t="str">
        <f aca="true">IF(B425="","",IF(F425="完了","✓ 完了",IF(E425="","⚠ 期限未設定",IF(E425&lt;TODAY(),"🔴 超過",IF(E425=TODAY(),"🟡 今日","")))))</f>
        <v/>
      </c>
      <c r="H425" s="6"/>
      <c r="I425" s="6"/>
      <c r="J425" s="8"/>
      <c r="K425" s="8"/>
    </row>
    <row r="426" customFormat="false" ht="15" hidden="false" customHeight="false" outlineLevel="0" collapsed="false">
      <c r="A426" s="5" t="str">
        <f aca="false">IF(B426="","",ROW()-3)</f>
        <v/>
      </c>
      <c r="B426" s="6"/>
      <c r="C426" s="7"/>
      <c r="D426" s="7"/>
      <c r="E426" s="8"/>
      <c r="F426" s="7"/>
      <c r="G426" s="9" t="str">
        <f aca="true">IF(B426="","",IF(F426="完了","✓ 完了",IF(E426="","⚠ 期限未設定",IF(E426&lt;TODAY(),"🔴 超過",IF(E426=TODAY(),"🟡 今日","")))))</f>
        <v/>
      </c>
      <c r="H426" s="6"/>
      <c r="I426" s="6"/>
      <c r="J426" s="8"/>
      <c r="K426" s="8"/>
    </row>
    <row r="427" customFormat="false" ht="15" hidden="false" customHeight="false" outlineLevel="0" collapsed="false">
      <c r="A427" s="5" t="str">
        <f aca="false">IF(B427="","",ROW()-3)</f>
        <v/>
      </c>
      <c r="B427" s="6"/>
      <c r="C427" s="7"/>
      <c r="D427" s="7"/>
      <c r="E427" s="8"/>
      <c r="F427" s="7"/>
      <c r="G427" s="9" t="str">
        <f aca="true">IF(B427="","",IF(F427="完了","✓ 完了",IF(E427="","⚠ 期限未設定",IF(E427&lt;TODAY(),"🔴 超過",IF(E427=TODAY(),"🟡 今日","")))))</f>
        <v/>
      </c>
      <c r="H427" s="6"/>
      <c r="I427" s="6"/>
      <c r="J427" s="8"/>
      <c r="K427" s="8"/>
    </row>
    <row r="428" customFormat="false" ht="15" hidden="false" customHeight="false" outlineLevel="0" collapsed="false">
      <c r="A428" s="5" t="str">
        <f aca="false">IF(B428="","",ROW()-3)</f>
        <v/>
      </c>
      <c r="B428" s="6"/>
      <c r="C428" s="7"/>
      <c r="D428" s="7"/>
      <c r="E428" s="8"/>
      <c r="F428" s="7"/>
      <c r="G428" s="9" t="str">
        <f aca="true">IF(B428="","",IF(F428="完了","✓ 完了",IF(E428="","⚠ 期限未設定",IF(E428&lt;TODAY(),"🔴 超過",IF(E428=TODAY(),"🟡 今日","")))))</f>
        <v/>
      </c>
      <c r="H428" s="6"/>
      <c r="I428" s="6"/>
      <c r="J428" s="8"/>
      <c r="K428" s="8"/>
    </row>
    <row r="429" customFormat="false" ht="15" hidden="false" customHeight="false" outlineLevel="0" collapsed="false">
      <c r="A429" s="5" t="str">
        <f aca="false">IF(B429="","",ROW()-3)</f>
        <v/>
      </c>
      <c r="B429" s="6"/>
      <c r="C429" s="7"/>
      <c r="D429" s="7"/>
      <c r="E429" s="8"/>
      <c r="F429" s="7"/>
      <c r="G429" s="9" t="str">
        <f aca="true">IF(B429="","",IF(F429="完了","✓ 完了",IF(E429="","⚠ 期限未設定",IF(E429&lt;TODAY(),"🔴 超過",IF(E429=TODAY(),"🟡 今日","")))))</f>
        <v/>
      </c>
      <c r="H429" s="6"/>
      <c r="I429" s="6"/>
      <c r="J429" s="8"/>
      <c r="K429" s="8"/>
    </row>
    <row r="430" customFormat="false" ht="15" hidden="false" customHeight="false" outlineLevel="0" collapsed="false">
      <c r="A430" s="5" t="str">
        <f aca="false">IF(B430="","",ROW()-3)</f>
        <v/>
      </c>
      <c r="B430" s="6"/>
      <c r="C430" s="7"/>
      <c r="D430" s="7"/>
      <c r="E430" s="8"/>
      <c r="F430" s="7"/>
      <c r="G430" s="9" t="str">
        <f aca="true">IF(B430="","",IF(F430="完了","✓ 完了",IF(E430="","⚠ 期限未設定",IF(E430&lt;TODAY(),"🔴 超過",IF(E430=TODAY(),"🟡 今日","")))))</f>
        <v/>
      </c>
      <c r="H430" s="6"/>
      <c r="I430" s="6"/>
      <c r="J430" s="8"/>
      <c r="K430" s="8"/>
    </row>
    <row r="431" customFormat="false" ht="15" hidden="false" customHeight="false" outlineLevel="0" collapsed="false">
      <c r="A431" s="5" t="str">
        <f aca="false">IF(B431="","",ROW()-3)</f>
        <v/>
      </c>
      <c r="B431" s="6"/>
      <c r="C431" s="7"/>
      <c r="D431" s="7"/>
      <c r="E431" s="8"/>
      <c r="F431" s="7"/>
      <c r="G431" s="9" t="str">
        <f aca="true">IF(B431="","",IF(F431="完了","✓ 完了",IF(E431="","⚠ 期限未設定",IF(E431&lt;TODAY(),"🔴 超過",IF(E431=TODAY(),"🟡 今日","")))))</f>
        <v/>
      </c>
      <c r="H431" s="6"/>
      <c r="I431" s="6"/>
      <c r="J431" s="8"/>
      <c r="K431" s="8"/>
    </row>
    <row r="432" customFormat="false" ht="15" hidden="false" customHeight="false" outlineLevel="0" collapsed="false">
      <c r="A432" s="5" t="str">
        <f aca="false">IF(B432="","",ROW()-3)</f>
        <v/>
      </c>
      <c r="B432" s="6"/>
      <c r="C432" s="7"/>
      <c r="D432" s="7"/>
      <c r="E432" s="8"/>
      <c r="F432" s="7"/>
      <c r="G432" s="9" t="str">
        <f aca="true">IF(B432="","",IF(F432="完了","✓ 完了",IF(E432="","⚠ 期限未設定",IF(E432&lt;TODAY(),"🔴 超過",IF(E432=TODAY(),"🟡 今日","")))))</f>
        <v/>
      </c>
      <c r="H432" s="6"/>
      <c r="I432" s="6"/>
      <c r="J432" s="8"/>
      <c r="K432" s="8"/>
    </row>
    <row r="433" customFormat="false" ht="15" hidden="false" customHeight="false" outlineLevel="0" collapsed="false">
      <c r="A433" s="5" t="str">
        <f aca="false">IF(B433="","",ROW()-3)</f>
        <v/>
      </c>
      <c r="B433" s="6"/>
      <c r="C433" s="7"/>
      <c r="D433" s="7"/>
      <c r="E433" s="8"/>
      <c r="F433" s="7"/>
      <c r="G433" s="9" t="str">
        <f aca="true">IF(B433="","",IF(F433="完了","✓ 完了",IF(E433="","⚠ 期限未設定",IF(E433&lt;TODAY(),"🔴 超過",IF(E433=TODAY(),"🟡 今日","")))))</f>
        <v/>
      </c>
      <c r="H433" s="6"/>
      <c r="I433" s="6"/>
      <c r="J433" s="8"/>
      <c r="K433" s="8"/>
    </row>
    <row r="434" customFormat="false" ht="15" hidden="false" customHeight="false" outlineLevel="0" collapsed="false">
      <c r="A434" s="5" t="str">
        <f aca="false">IF(B434="","",ROW()-3)</f>
        <v/>
      </c>
      <c r="B434" s="6"/>
      <c r="C434" s="7"/>
      <c r="D434" s="7"/>
      <c r="E434" s="8"/>
      <c r="F434" s="7"/>
      <c r="G434" s="9" t="str">
        <f aca="true">IF(B434="","",IF(F434="完了","✓ 完了",IF(E434="","⚠ 期限未設定",IF(E434&lt;TODAY(),"🔴 超過",IF(E434=TODAY(),"🟡 今日","")))))</f>
        <v/>
      </c>
      <c r="H434" s="6"/>
      <c r="I434" s="6"/>
      <c r="J434" s="8"/>
      <c r="K434" s="8"/>
    </row>
    <row r="435" customFormat="false" ht="15" hidden="false" customHeight="false" outlineLevel="0" collapsed="false">
      <c r="A435" s="5" t="str">
        <f aca="false">IF(B435="","",ROW()-3)</f>
        <v/>
      </c>
      <c r="B435" s="6"/>
      <c r="C435" s="7"/>
      <c r="D435" s="7"/>
      <c r="E435" s="8"/>
      <c r="F435" s="7"/>
      <c r="G435" s="9" t="str">
        <f aca="true">IF(B435="","",IF(F435="完了","✓ 完了",IF(E435="","⚠ 期限未設定",IF(E435&lt;TODAY(),"🔴 超過",IF(E435=TODAY(),"🟡 今日","")))))</f>
        <v/>
      </c>
      <c r="H435" s="6"/>
      <c r="I435" s="6"/>
      <c r="J435" s="8"/>
      <c r="K435" s="8"/>
    </row>
    <row r="436" customFormat="false" ht="15" hidden="false" customHeight="false" outlineLevel="0" collapsed="false">
      <c r="A436" s="5" t="str">
        <f aca="false">IF(B436="","",ROW()-3)</f>
        <v/>
      </c>
      <c r="B436" s="6"/>
      <c r="C436" s="7"/>
      <c r="D436" s="7"/>
      <c r="E436" s="8"/>
      <c r="F436" s="7"/>
      <c r="G436" s="9" t="str">
        <f aca="true">IF(B436="","",IF(F436="完了","✓ 完了",IF(E436="","⚠ 期限未設定",IF(E436&lt;TODAY(),"🔴 超過",IF(E436=TODAY(),"🟡 今日","")))))</f>
        <v/>
      </c>
      <c r="H436" s="6"/>
      <c r="I436" s="6"/>
      <c r="J436" s="8"/>
      <c r="K436" s="8"/>
    </row>
    <row r="437" customFormat="false" ht="15" hidden="false" customHeight="false" outlineLevel="0" collapsed="false">
      <c r="A437" s="5" t="str">
        <f aca="false">IF(B437="","",ROW()-3)</f>
        <v/>
      </c>
      <c r="B437" s="6"/>
      <c r="C437" s="7"/>
      <c r="D437" s="7"/>
      <c r="E437" s="8"/>
      <c r="F437" s="7"/>
      <c r="G437" s="9" t="str">
        <f aca="true">IF(B437="","",IF(F437="完了","✓ 完了",IF(E437="","⚠ 期限未設定",IF(E437&lt;TODAY(),"🔴 超過",IF(E437=TODAY(),"🟡 今日","")))))</f>
        <v/>
      </c>
      <c r="H437" s="6"/>
      <c r="I437" s="6"/>
      <c r="J437" s="8"/>
      <c r="K437" s="8"/>
    </row>
    <row r="438" customFormat="false" ht="15" hidden="false" customHeight="false" outlineLevel="0" collapsed="false">
      <c r="A438" s="5" t="str">
        <f aca="false">IF(B438="","",ROW()-3)</f>
        <v/>
      </c>
      <c r="B438" s="6"/>
      <c r="C438" s="7"/>
      <c r="D438" s="7"/>
      <c r="E438" s="8"/>
      <c r="F438" s="7"/>
      <c r="G438" s="9" t="str">
        <f aca="true">IF(B438="","",IF(F438="完了","✓ 完了",IF(E438="","⚠ 期限未設定",IF(E438&lt;TODAY(),"🔴 超過",IF(E438=TODAY(),"🟡 今日","")))))</f>
        <v/>
      </c>
      <c r="H438" s="6"/>
      <c r="I438" s="6"/>
      <c r="J438" s="8"/>
      <c r="K438" s="8"/>
    </row>
    <row r="439" customFormat="false" ht="15" hidden="false" customHeight="false" outlineLevel="0" collapsed="false">
      <c r="A439" s="5" t="str">
        <f aca="false">IF(B439="","",ROW()-3)</f>
        <v/>
      </c>
      <c r="B439" s="6"/>
      <c r="C439" s="7"/>
      <c r="D439" s="7"/>
      <c r="E439" s="8"/>
      <c r="F439" s="7"/>
      <c r="G439" s="9" t="str">
        <f aca="true">IF(B439="","",IF(F439="完了","✓ 完了",IF(E439="","⚠ 期限未設定",IF(E439&lt;TODAY(),"🔴 超過",IF(E439=TODAY(),"🟡 今日","")))))</f>
        <v/>
      </c>
      <c r="H439" s="6"/>
      <c r="I439" s="6"/>
      <c r="J439" s="8"/>
      <c r="K439" s="8"/>
    </row>
    <row r="440" customFormat="false" ht="15" hidden="false" customHeight="false" outlineLevel="0" collapsed="false">
      <c r="A440" s="5" t="str">
        <f aca="false">IF(B440="","",ROW()-3)</f>
        <v/>
      </c>
      <c r="B440" s="6"/>
      <c r="C440" s="7"/>
      <c r="D440" s="7"/>
      <c r="E440" s="8"/>
      <c r="F440" s="7"/>
      <c r="G440" s="9" t="str">
        <f aca="true">IF(B440="","",IF(F440="完了","✓ 完了",IF(E440="","⚠ 期限未設定",IF(E440&lt;TODAY(),"🔴 超過",IF(E440=TODAY(),"🟡 今日","")))))</f>
        <v/>
      </c>
      <c r="H440" s="6"/>
      <c r="I440" s="6"/>
      <c r="J440" s="8"/>
      <c r="K440" s="8"/>
    </row>
    <row r="441" customFormat="false" ht="15" hidden="false" customHeight="false" outlineLevel="0" collapsed="false">
      <c r="A441" s="5" t="str">
        <f aca="false">IF(B441="","",ROW()-3)</f>
        <v/>
      </c>
      <c r="B441" s="6"/>
      <c r="C441" s="7"/>
      <c r="D441" s="7"/>
      <c r="E441" s="8"/>
      <c r="F441" s="7"/>
      <c r="G441" s="9" t="str">
        <f aca="true">IF(B441="","",IF(F441="完了","✓ 完了",IF(E441="","⚠ 期限未設定",IF(E441&lt;TODAY(),"🔴 超過",IF(E441=TODAY(),"🟡 今日","")))))</f>
        <v/>
      </c>
      <c r="H441" s="6"/>
      <c r="I441" s="6"/>
      <c r="J441" s="8"/>
      <c r="K441" s="8"/>
    </row>
    <row r="442" customFormat="false" ht="15" hidden="false" customHeight="false" outlineLevel="0" collapsed="false">
      <c r="A442" s="5" t="str">
        <f aca="false">IF(B442="","",ROW()-3)</f>
        <v/>
      </c>
      <c r="B442" s="6"/>
      <c r="C442" s="7"/>
      <c r="D442" s="7"/>
      <c r="E442" s="8"/>
      <c r="F442" s="7"/>
      <c r="G442" s="9" t="str">
        <f aca="true">IF(B442="","",IF(F442="完了","✓ 完了",IF(E442="","⚠ 期限未設定",IF(E442&lt;TODAY(),"🔴 超過",IF(E442=TODAY(),"🟡 今日","")))))</f>
        <v/>
      </c>
      <c r="H442" s="6"/>
      <c r="I442" s="6"/>
      <c r="J442" s="8"/>
      <c r="K442" s="8"/>
    </row>
    <row r="443" customFormat="false" ht="15" hidden="false" customHeight="false" outlineLevel="0" collapsed="false">
      <c r="A443" s="5" t="str">
        <f aca="false">IF(B443="","",ROW()-3)</f>
        <v/>
      </c>
      <c r="B443" s="6"/>
      <c r="C443" s="7"/>
      <c r="D443" s="7"/>
      <c r="E443" s="8"/>
      <c r="F443" s="7"/>
      <c r="G443" s="9" t="str">
        <f aca="true">IF(B443="","",IF(F443="完了","✓ 完了",IF(E443="","⚠ 期限未設定",IF(E443&lt;TODAY(),"🔴 超過",IF(E443=TODAY(),"🟡 今日","")))))</f>
        <v/>
      </c>
      <c r="H443" s="6"/>
      <c r="I443" s="6"/>
      <c r="J443" s="8"/>
      <c r="K443" s="8"/>
    </row>
    <row r="444" customFormat="false" ht="15" hidden="false" customHeight="false" outlineLevel="0" collapsed="false">
      <c r="A444" s="5" t="str">
        <f aca="false">IF(B444="","",ROW()-3)</f>
        <v/>
      </c>
      <c r="B444" s="6"/>
      <c r="C444" s="7"/>
      <c r="D444" s="7"/>
      <c r="E444" s="8"/>
      <c r="F444" s="7"/>
      <c r="G444" s="9" t="str">
        <f aca="true">IF(B444="","",IF(F444="完了","✓ 完了",IF(E444="","⚠ 期限未設定",IF(E444&lt;TODAY(),"🔴 超過",IF(E444=TODAY(),"🟡 今日","")))))</f>
        <v/>
      </c>
      <c r="H444" s="6"/>
      <c r="I444" s="6"/>
      <c r="J444" s="8"/>
      <c r="K444" s="8"/>
    </row>
    <row r="445" customFormat="false" ht="15" hidden="false" customHeight="false" outlineLevel="0" collapsed="false">
      <c r="A445" s="5" t="str">
        <f aca="false">IF(B445="","",ROW()-3)</f>
        <v/>
      </c>
      <c r="B445" s="6"/>
      <c r="C445" s="7"/>
      <c r="D445" s="7"/>
      <c r="E445" s="8"/>
      <c r="F445" s="7"/>
      <c r="G445" s="9" t="str">
        <f aca="true">IF(B445="","",IF(F445="完了","✓ 完了",IF(E445="","⚠ 期限未設定",IF(E445&lt;TODAY(),"🔴 超過",IF(E445=TODAY(),"🟡 今日","")))))</f>
        <v/>
      </c>
      <c r="H445" s="6"/>
      <c r="I445" s="6"/>
      <c r="J445" s="8"/>
      <c r="K445" s="8"/>
    </row>
    <row r="446" customFormat="false" ht="15" hidden="false" customHeight="false" outlineLevel="0" collapsed="false">
      <c r="A446" s="5" t="str">
        <f aca="false">IF(B446="","",ROW()-3)</f>
        <v/>
      </c>
      <c r="B446" s="6"/>
      <c r="C446" s="7"/>
      <c r="D446" s="7"/>
      <c r="E446" s="8"/>
      <c r="F446" s="7"/>
      <c r="G446" s="9" t="str">
        <f aca="true">IF(B446="","",IF(F446="完了","✓ 完了",IF(E446="","⚠ 期限未設定",IF(E446&lt;TODAY(),"🔴 超過",IF(E446=TODAY(),"🟡 今日","")))))</f>
        <v/>
      </c>
      <c r="H446" s="6"/>
      <c r="I446" s="6"/>
      <c r="J446" s="8"/>
      <c r="K446" s="8"/>
    </row>
    <row r="447" customFormat="false" ht="15" hidden="false" customHeight="false" outlineLevel="0" collapsed="false">
      <c r="A447" s="5" t="str">
        <f aca="false">IF(B447="","",ROW()-3)</f>
        <v/>
      </c>
      <c r="B447" s="6"/>
      <c r="C447" s="7"/>
      <c r="D447" s="7"/>
      <c r="E447" s="8"/>
      <c r="F447" s="7"/>
      <c r="G447" s="9" t="str">
        <f aca="true">IF(B447="","",IF(F447="完了","✓ 完了",IF(E447="","⚠ 期限未設定",IF(E447&lt;TODAY(),"🔴 超過",IF(E447=TODAY(),"🟡 今日","")))))</f>
        <v/>
      </c>
      <c r="H447" s="6"/>
      <c r="I447" s="6"/>
      <c r="J447" s="8"/>
      <c r="K447" s="8"/>
    </row>
    <row r="448" customFormat="false" ht="15" hidden="false" customHeight="false" outlineLevel="0" collapsed="false">
      <c r="A448" s="5" t="str">
        <f aca="false">IF(B448="","",ROW()-3)</f>
        <v/>
      </c>
      <c r="B448" s="6"/>
      <c r="C448" s="7"/>
      <c r="D448" s="7"/>
      <c r="E448" s="8"/>
      <c r="F448" s="7"/>
      <c r="G448" s="9" t="str">
        <f aca="true">IF(B448="","",IF(F448="完了","✓ 完了",IF(E448="","⚠ 期限未設定",IF(E448&lt;TODAY(),"🔴 超過",IF(E448=TODAY(),"🟡 今日","")))))</f>
        <v/>
      </c>
      <c r="H448" s="6"/>
      <c r="I448" s="6"/>
      <c r="J448" s="8"/>
      <c r="K448" s="8"/>
    </row>
    <row r="449" customFormat="false" ht="15" hidden="false" customHeight="false" outlineLevel="0" collapsed="false">
      <c r="A449" s="5" t="str">
        <f aca="false">IF(B449="","",ROW()-3)</f>
        <v/>
      </c>
      <c r="B449" s="6"/>
      <c r="C449" s="7"/>
      <c r="D449" s="7"/>
      <c r="E449" s="8"/>
      <c r="F449" s="7"/>
      <c r="G449" s="9" t="str">
        <f aca="true">IF(B449="","",IF(F449="完了","✓ 完了",IF(E449="","⚠ 期限未設定",IF(E449&lt;TODAY(),"🔴 超過",IF(E449=TODAY(),"🟡 今日","")))))</f>
        <v/>
      </c>
      <c r="H449" s="6"/>
      <c r="I449" s="6"/>
      <c r="J449" s="8"/>
      <c r="K449" s="8"/>
    </row>
    <row r="450" customFormat="false" ht="15" hidden="false" customHeight="false" outlineLevel="0" collapsed="false">
      <c r="A450" s="5" t="str">
        <f aca="false">IF(B450="","",ROW()-3)</f>
        <v/>
      </c>
      <c r="B450" s="6"/>
      <c r="C450" s="7"/>
      <c r="D450" s="7"/>
      <c r="E450" s="8"/>
      <c r="F450" s="7"/>
      <c r="G450" s="9" t="str">
        <f aca="true">IF(B450="","",IF(F450="完了","✓ 完了",IF(E450="","⚠ 期限未設定",IF(E450&lt;TODAY(),"🔴 超過",IF(E450=TODAY(),"🟡 今日","")))))</f>
        <v/>
      </c>
      <c r="H450" s="6"/>
      <c r="I450" s="6"/>
      <c r="J450" s="8"/>
      <c r="K450" s="8"/>
    </row>
    <row r="451" customFormat="false" ht="15" hidden="false" customHeight="false" outlineLevel="0" collapsed="false">
      <c r="A451" s="5" t="str">
        <f aca="false">IF(B451="","",ROW()-3)</f>
        <v/>
      </c>
      <c r="B451" s="6"/>
      <c r="C451" s="7"/>
      <c r="D451" s="7"/>
      <c r="E451" s="8"/>
      <c r="F451" s="7"/>
      <c r="G451" s="9" t="str">
        <f aca="true">IF(B451="","",IF(F451="完了","✓ 完了",IF(E451="","⚠ 期限未設定",IF(E451&lt;TODAY(),"🔴 超過",IF(E451=TODAY(),"🟡 今日","")))))</f>
        <v/>
      </c>
      <c r="H451" s="6"/>
      <c r="I451" s="6"/>
      <c r="J451" s="8"/>
      <c r="K451" s="8"/>
    </row>
    <row r="452" customFormat="false" ht="15" hidden="false" customHeight="false" outlineLevel="0" collapsed="false">
      <c r="A452" s="5" t="str">
        <f aca="false">IF(B452="","",ROW()-3)</f>
        <v/>
      </c>
      <c r="B452" s="6"/>
      <c r="C452" s="7"/>
      <c r="D452" s="7"/>
      <c r="E452" s="8"/>
      <c r="F452" s="7"/>
      <c r="G452" s="9" t="str">
        <f aca="true">IF(B452="","",IF(F452="完了","✓ 完了",IF(E452="","⚠ 期限未設定",IF(E452&lt;TODAY(),"🔴 超過",IF(E452=TODAY(),"🟡 今日","")))))</f>
        <v/>
      </c>
      <c r="H452" s="6"/>
      <c r="I452" s="6"/>
      <c r="J452" s="8"/>
      <c r="K452" s="8"/>
    </row>
    <row r="453" customFormat="false" ht="15" hidden="false" customHeight="false" outlineLevel="0" collapsed="false">
      <c r="A453" s="5" t="str">
        <f aca="false">IF(B453="","",ROW()-3)</f>
        <v/>
      </c>
      <c r="B453" s="6"/>
      <c r="C453" s="7"/>
      <c r="D453" s="7"/>
      <c r="E453" s="8"/>
      <c r="F453" s="7"/>
      <c r="G453" s="9" t="str">
        <f aca="true">IF(B453="","",IF(F453="完了","✓ 完了",IF(E453="","⚠ 期限未設定",IF(E453&lt;TODAY(),"🔴 超過",IF(E453=TODAY(),"🟡 今日","")))))</f>
        <v/>
      </c>
      <c r="H453" s="6"/>
      <c r="I453" s="6"/>
      <c r="J453" s="8"/>
      <c r="K453" s="8"/>
    </row>
    <row r="454" customFormat="false" ht="15" hidden="false" customHeight="false" outlineLevel="0" collapsed="false">
      <c r="A454" s="5" t="str">
        <f aca="false">IF(B454="","",ROW()-3)</f>
        <v/>
      </c>
      <c r="B454" s="6"/>
      <c r="C454" s="7"/>
      <c r="D454" s="7"/>
      <c r="E454" s="8"/>
      <c r="F454" s="7"/>
      <c r="G454" s="9" t="str">
        <f aca="true">IF(B454="","",IF(F454="完了","✓ 完了",IF(E454="","⚠ 期限未設定",IF(E454&lt;TODAY(),"🔴 超過",IF(E454=TODAY(),"🟡 今日","")))))</f>
        <v/>
      </c>
      <c r="H454" s="6"/>
      <c r="I454" s="6"/>
      <c r="J454" s="8"/>
      <c r="K454" s="8"/>
    </row>
    <row r="455" customFormat="false" ht="15" hidden="false" customHeight="false" outlineLevel="0" collapsed="false">
      <c r="A455" s="5" t="str">
        <f aca="false">IF(B455="","",ROW()-3)</f>
        <v/>
      </c>
      <c r="B455" s="6"/>
      <c r="C455" s="7"/>
      <c r="D455" s="7"/>
      <c r="E455" s="8"/>
      <c r="F455" s="7"/>
      <c r="G455" s="9" t="str">
        <f aca="true">IF(B455="","",IF(F455="完了","✓ 完了",IF(E455="","⚠ 期限未設定",IF(E455&lt;TODAY(),"🔴 超過",IF(E455=TODAY(),"🟡 今日","")))))</f>
        <v/>
      </c>
      <c r="H455" s="6"/>
      <c r="I455" s="6"/>
      <c r="J455" s="8"/>
      <c r="K455" s="8"/>
    </row>
    <row r="456" customFormat="false" ht="15" hidden="false" customHeight="false" outlineLevel="0" collapsed="false">
      <c r="A456" s="5" t="str">
        <f aca="false">IF(B456="","",ROW()-3)</f>
        <v/>
      </c>
      <c r="B456" s="6"/>
      <c r="C456" s="7"/>
      <c r="D456" s="7"/>
      <c r="E456" s="8"/>
      <c r="F456" s="7"/>
      <c r="G456" s="9" t="str">
        <f aca="true">IF(B456="","",IF(F456="完了","✓ 完了",IF(E456="","⚠ 期限未設定",IF(E456&lt;TODAY(),"🔴 超過",IF(E456=TODAY(),"🟡 今日","")))))</f>
        <v/>
      </c>
      <c r="H456" s="6"/>
      <c r="I456" s="6"/>
      <c r="J456" s="8"/>
      <c r="K456" s="8"/>
    </row>
    <row r="457" customFormat="false" ht="15" hidden="false" customHeight="false" outlineLevel="0" collapsed="false">
      <c r="A457" s="5" t="str">
        <f aca="false">IF(B457="","",ROW()-3)</f>
        <v/>
      </c>
      <c r="B457" s="6"/>
      <c r="C457" s="7"/>
      <c r="D457" s="7"/>
      <c r="E457" s="8"/>
      <c r="F457" s="7"/>
      <c r="G457" s="9" t="str">
        <f aca="true">IF(B457="","",IF(F457="完了","✓ 完了",IF(E457="","⚠ 期限未設定",IF(E457&lt;TODAY(),"🔴 超過",IF(E457=TODAY(),"🟡 今日","")))))</f>
        <v/>
      </c>
      <c r="H457" s="6"/>
      <c r="I457" s="6"/>
      <c r="J457" s="8"/>
      <c r="K457" s="8"/>
    </row>
    <row r="458" customFormat="false" ht="15" hidden="false" customHeight="false" outlineLevel="0" collapsed="false">
      <c r="A458" s="5" t="str">
        <f aca="false">IF(B458="","",ROW()-3)</f>
        <v/>
      </c>
      <c r="B458" s="6"/>
      <c r="C458" s="7"/>
      <c r="D458" s="7"/>
      <c r="E458" s="8"/>
      <c r="F458" s="7"/>
      <c r="G458" s="9" t="str">
        <f aca="true">IF(B458="","",IF(F458="完了","✓ 完了",IF(E458="","⚠ 期限未設定",IF(E458&lt;TODAY(),"🔴 超過",IF(E458=TODAY(),"🟡 今日","")))))</f>
        <v/>
      </c>
      <c r="H458" s="6"/>
      <c r="I458" s="6"/>
      <c r="J458" s="8"/>
      <c r="K458" s="8"/>
    </row>
    <row r="459" customFormat="false" ht="15" hidden="false" customHeight="false" outlineLevel="0" collapsed="false">
      <c r="A459" s="5" t="str">
        <f aca="false">IF(B459="","",ROW()-3)</f>
        <v/>
      </c>
      <c r="B459" s="6"/>
      <c r="C459" s="7"/>
      <c r="D459" s="7"/>
      <c r="E459" s="8"/>
      <c r="F459" s="7"/>
      <c r="G459" s="9" t="str">
        <f aca="true">IF(B459="","",IF(F459="完了","✓ 完了",IF(E459="","⚠ 期限未設定",IF(E459&lt;TODAY(),"🔴 超過",IF(E459=TODAY(),"🟡 今日","")))))</f>
        <v/>
      </c>
      <c r="H459" s="6"/>
      <c r="I459" s="6"/>
      <c r="J459" s="8"/>
      <c r="K459" s="8"/>
    </row>
    <row r="460" customFormat="false" ht="15" hidden="false" customHeight="false" outlineLevel="0" collapsed="false">
      <c r="A460" s="5" t="str">
        <f aca="false">IF(B460="","",ROW()-3)</f>
        <v/>
      </c>
      <c r="B460" s="6"/>
      <c r="C460" s="7"/>
      <c r="D460" s="7"/>
      <c r="E460" s="8"/>
      <c r="F460" s="7"/>
      <c r="G460" s="9" t="str">
        <f aca="true">IF(B460="","",IF(F460="完了","✓ 完了",IF(E460="","⚠ 期限未設定",IF(E460&lt;TODAY(),"🔴 超過",IF(E460=TODAY(),"🟡 今日","")))))</f>
        <v/>
      </c>
      <c r="H460" s="6"/>
      <c r="I460" s="6"/>
      <c r="J460" s="8"/>
      <c r="K460" s="8"/>
    </row>
    <row r="461" customFormat="false" ht="15" hidden="false" customHeight="false" outlineLevel="0" collapsed="false">
      <c r="A461" s="5" t="str">
        <f aca="false">IF(B461="","",ROW()-3)</f>
        <v/>
      </c>
      <c r="B461" s="6"/>
      <c r="C461" s="7"/>
      <c r="D461" s="7"/>
      <c r="E461" s="8"/>
      <c r="F461" s="7"/>
      <c r="G461" s="9" t="str">
        <f aca="true">IF(B461="","",IF(F461="完了","✓ 完了",IF(E461="","⚠ 期限未設定",IF(E461&lt;TODAY(),"🔴 超過",IF(E461=TODAY(),"🟡 今日","")))))</f>
        <v/>
      </c>
      <c r="H461" s="6"/>
      <c r="I461" s="6"/>
      <c r="J461" s="8"/>
      <c r="K461" s="8"/>
    </row>
    <row r="462" customFormat="false" ht="15" hidden="false" customHeight="false" outlineLevel="0" collapsed="false">
      <c r="A462" s="5" t="str">
        <f aca="false">IF(B462="","",ROW()-3)</f>
        <v/>
      </c>
      <c r="B462" s="6"/>
      <c r="C462" s="7"/>
      <c r="D462" s="7"/>
      <c r="E462" s="8"/>
      <c r="F462" s="7"/>
      <c r="G462" s="9" t="str">
        <f aca="true">IF(B462="","",IF(F462="完了","✓ 完了",IF(E462="","⚠ 期限未設定",IF(E462&lt;TODAY(),"🔴 超過",IF(E462=TODAY(),"🟡 今日","")))))</f>
        <v/>
      </c>
      <c r="H462" s="6"/>
      <c r="I462" s="6"/>
      <c r="J462" s="8"/>
      <c r="K462" s="8"/>
    </row>
    <row r="463" customFormat="false" ht="15" hidden="false" customHeight="false" outlineLevel="0" collapsed="false">
      <c r="A463" s="5" t="str">
        <f aca="false">IF(B463="","",ROW()-3)</f>
        <v/>
      </c>
      <c r="B463" s="6"/>
      <c r="C463" s="7"/>
      <c r="D463" s="7"/>
      <c r="E463" s="8"/>
      <c r="F463" s="7"/>
      <c r="G463" s="9" t="str">
        <f aca="true">IF(B463="","",IF(F463="完了","✓ 完了",IF(E463="","⚠ 期限未設定",IF(E463&lt;TODAY(),"🔴 超過",IF(E463=TODAY(),"🟡 今日","")))))</f>
        <v/>
      </c>
      <c r="H463" s="6"/>
      <c r="I463" s="6"/>
      <c r="J463" s="8"/>
      <c r="K463" s="8"/>
    </row>
    <row r="464" customFormat="false" ht="15" hidden="false" customHeight="false" outlineLevel="0" collapsed="false">
      <c r="A464" s="5" t="str">
        <f aca="false">IF(B464="","",ROW()-3)</f>
        <v/>
      </c>
      <c r="B464" s="6"/>
      <c r="C464" s="7"/>
      <c r="D464" s="7"/>
      <c r="E464" s="8"/>
      <c r="F464" s="7"/>
      <c r="G464" s="9" t="str">
        <f aca="true">IF(B464="","",IF(F464="完了","✓ 完了",IF(E464="","⚠ 期限未設定",IF(E464&lt;TODAY(),"🔴 超過",IF(E464=TODAY(),"🟡 今日","")))))</f>
        <v/>
      </c>
      <c r="H464" s="6"/>
      <c r="I464" s="6"/>
      <c r="J464" s="8"/>
      <c r="K464" s="8"/>
    </row>
    <row r="465" customFormat="false" ht="15" hidden="false" customHeight="false" outlineLevel="0" collapsed="false">
      <c r="A465" s="5" t="str">
        <f aca="false">IF(B465="","",ROW()-3)</f>
        <v/>
      </c>
      <c r="B465" s="6"/>
      <c r="C465" s="7"/>
      <c r="D465" s="7"/>
      <c r="E465" s="8"/>
      <c r="F465" s="7"/>
      <c r="G465" s="9" t="str">
        <f aca="true">IF(B465="","",IF(F465="完了","✓ 完了",IF(E465="","⚠ 期限未設定",IF(E465&lt;TODAY(),"🔴 超過",IF(E465=TODAY(),"🟡 今日","")))))</f>
        <v/>
      </c>
      <c r="H465" s="6"/>
      <c r="I465" s="6"/>
      <c r="J465" s="8"/>
      <c r="K465" s="8"/>
    </row>
    <row r="466" customFormat="false" ht="15" hidden="false" customHeight="false" outlineLevel="0" collapsed="false">
      <c r="A466" s="5" t="str">
        <f aca="false">IF(B466="","",ROW()-3)</f>
        <v/>
      </c>
      <c r="B466" s="6"/>
      <c r="C466" s="7"/>
      <c r="D466" s="7"/>
      <c r="E466" s="8"/>
      <c r="F466" s="7"/>
      <c r="G466" s="9" t="str">
        <f aca="true">IF(B466="","",IF(F466="完了","✓ 完了",IF(E466="","⚠ 期限未設定",IF(E466&lt;TODAY(),"🔴 超過",IF(E466=TODAY(),"🟡 今日","")))))</f>
        <v/>
      </c>
      <c r="H466" s="6"/>
      <c r="I466" s="6"/>
      <c r="J466" s="8"/>
      <c r="K466" s="8"/>
    </row>
    <row r="467" customFormat="false" ht="15" hidden="false" customHeight="false" outlineLevel="0" collapsed="false">
      <c r="A467" s="5" t="str">
        <f aca="false">IF(B467="","",ROW()-3)</f>
        <v/>
      </c>
      <c r="B467" s="6"/>
      <c r="C467" s="7"/>
      <c r="D467" s="7"/>
      <c r="E467" s="8"/>
      <c r="F467" s="7"/>
      <c r="G467" s="9" t="str">
        <f aca="true">IF(B467="","",IF(F467="完了","✓ 完了",IF(E467="","⚠ 期限未設定",IF(E467&lt;TODAY(),"🔴 超過",IF(E467=TODAY(),"🟡 今日","")))))</f>
        <v/>
      </c>
      <c r="H467" s="6"/>
      <c r="I467" s="6"/>
      <c r="J467" s="8"/>
      <c r="K467" s="8"/>
    </row>
    <row r="468" customFormat="false" ht="15" hidden="false" customHeight="false" outlineLevel="0" collapsed="false">
      <c r="A468" s="5" t="str">
        <f aca="false">IF(B468="","",ROW()-3)</f>
        <v/>
      </c>
      <c r="B468" s="6"/>
      <c r="C468" s="7"/>
      <c r="D468" s="7"/>
      <c r="E468" s="8"/>
      <c r="F468" s="7"/>
      <c r="G468" s="9" t="str">
        <f aca="true">IF(B468="","",IF(F468="完了","✓ 完了",IF(E468="","⚠ 期限未設定",IF(E468&lt;TODAY(),"🔴 超過",IF(E468=TODAY(),"🟡 今日","")))))</f>
        <v/>
      </c>
      <c r="H468" s="6"/>
      <c r="I468" s="6"/>
      <c r="J468" s="8"/>
      <c r="K468" s="8"/>
    </row>
    <row r="469" customFormat="false" ht="15" hidden="false" customHeight="false" outlineLevel="0" collapsed="false">
      <c r="A469" s="5" t="str">
        <f aca="false">IF(B469="","",ROW()-3)</f>
        <v/>
      </c>
      <c r="B469" s="6"/>
      <c r="C469" s="7"/>
      <c r="D469" s="7"/>
      <c r="E469" s="8"/>
      <c r="F469" s="7"/>
      <c r="G469" s="9" t="str">
        <f aca="true">IF(B469="","",IF(F469="完了","✓ 完了",IF(E469="","⚠ 期限未設定",IF(E469&lt;TODAY(),"🔴 超過",IF(E469=TODAY(),"🟡 今日","")))))</f>
        <v/>
      </c>
      <c r="H469" s="6"/>
      <c r="I469" s="6"/>
      <c r="J469" s="8"/>
      <c r="K469" s="8"/>
    </row>
    <row r="470" customFormat="false" ht="15" hidden="false" customHeight="false" outlineLevel="0" collapsed="false">
      <c r="A470" s="5" t="str">
        <f aca="false">IF(B470="","",ROW()-3)</f>
        <v/>
      </c>
      <c r="B470" s="6"/>
      <c r="C470" s="7"/>
      <c r="D470" s="7"/>
      <c r="E470" s="8"/>
      <c r="F470" s="7"/>
      <c r="G470" s="9" t="str">
        <f aca="true">IF(B470="","",IF(F470="完了","✓ 完了",IF(E470="","⚠ 期限未設定",IF(E470&lt;TODAY(),"🔴 超過",IF(E470=TODAY(),"🟡 今日","")))))</f>
        <v/>
      </c>
      <c r="H470" s="6"/>
      <c r="I470" s="6"/>
      <c r="J470" s="8"/>
      <c r="K470" s="8"/>
    </row>
    <row r="471" customFormat="false" ht="15" hidden="false" customHeight="false" outlineLevel="0" collapsed="false">
      <c r="A471" s="5" t="str">
        <f aca="false">IF(B471="","",ROW()-3)</f>
        <v/>
      </c>
      <c r="B471" s="6"/>
      <c r="C471" s="7"/>
      <c r="D471" s="7"/>
      <c r="E471" s="8"/>
      <c r="F471" s="7"/>
      <c r="G471" s="9" t="str">
        <f aca="true">IF(B471="","",IF(F471="完了","✓ 完了",IF(E471="","⚠ 期限未設定",IF(E471&lt;TODAY(),"🔴 超過",IF(E471=TODAY(),"🟡 今日","")))))</f>
        <v/>
      </c>
      <c r="H471" s="6"/>
      <c r="I471" s="6"/>
      <c r="J471" s="8"/>
      <c r="K471" s="8"/>
    </row>
    <row r="472" customFormat="false" ht="15" hidden="false" customHeight="false" outlineLevel="0" collapsed="false">
      <c r="A472" s="5" t="str">
        <f aca="false">IF(B472="","",ROW()-3)</f>
        <v/>
      </c>
      <c r="B472" s="6"/>
      <c r="C472" s="7"/>
      <c r="D472" s="7"/>
      <c r="E472" s="8"/>
      <c r="F472" s="7"/>
      <c r="G472" s="9" t="str">
        <f aca="true">IF(B472="","",IF(F472="完了","✓ 完了",IF(E472="","⚠ 期限未設定",IF(E472&lt;TODAY(),"🔴 超過",IF(E472=TODAY(),"🟡 今日","")))))</f>
        <v/>
      </c>
      <c r="H472" s="6"/>
      <c r="I472" s="6"/>
      <c r="J472" s="8"/>
      <c r="K472" s="8"/>
    </row>
    <row r="473" customFormat="false" ht="15" hidden="false" customHeight="false" outlineLevel="0" collapsed="false">
      <c r="A473" s="5" t="str">
        <f aca="false">IF(B473="","",ROW()-3)</f>
        <v/>
      </c>
      <c r="B473" s="6"/>
      <c r="C473" s="7"/>
      <c r="D473" s="7"/>
      <c r="E473" s="8"/>
      <c r="F473" s="7"/>
      <c r="G473" s="9" t="str">
        <f aca="true">IF(B473="","",IF(F473="完了","✓ 完了",IF(E473="","⚠ 期限未設定",IF(E473&lt;TODAY(),"🔴 超過",IF(E473=TODAY(),"🟡 今日","")))))</f>
        <v/>
      </c>
      <c r="H473" s="6"/>
      <c r="I473" s="6"/>
      <c r="J473" s="8"/>
      <c r="K473" s="8"/>
    </row>
    <row r="474" customFormat="false" ht="15" hidden="false" customHeight="false" outlineLevel="0" collapsed="false">
      <c r="A474" s="5" t="str">
        <f aca="false">IF(B474="","",ROW()-3)</f>
        <v/>
      </c>
      <c r="B474" s="6"/>
      <c r="C474" s="7"/>
      <c r="D474" s="7"/>
      <c r="E474" s="8"/>
      <c r="F474" s="7"/>
      <c r="G474" s="9" t="str">
        <f aca="true">IF(B474="","",IF(F474="完了","✓ 完了",IF(E474="","⚠ 期限未設定",IF(E474&lt;TODAY(),"🔴 超過",IF(E474=TODAY(),"🟡 今日","")))))</f>
        <v/>
      </c>
      <c r="H474" s="6"/>
      <c r="I474" s="6"/>
      <c r="J474" s="8"/>
      <c r="K474" s="8"/>
    </row>
    <row r="475" customFormat="false" ht="15" hidden="false" customHeight="false" outlineLevel="0" collapsed="false">
      <c r="A475" s="5" t="str">
        <f aca="false">IF(B475="","",ROW()-3)</f>
        <v/>
      </c>
      <c r="B475" s="6"/>
      <c r="C475" s="7"/>
      <c r="D475" s="7"/>
      <c r="E475" s="8"/>
      <c r="F475" s="7"/>
      <c r="G475" s="9" t="str">
        <f aca="true">IF(B475="","",IF(F475="完了","✓ 完了",IF(E475="","⚠ 期限未設定",IF(E475&lt;TODAY(),"🔴 超過",IF(E475=TODAY(),"🟡 今日","")))))</f>
        <v/>
      </c>
      <c r="H475" s="6"/>
      <c r="I475" s="6"/>
      <c r="J475" s="8"/>
      <c r="K475" s="8"/>
    </row>
    <row r="476" customFormat="false" ht="15" hidden="false" customHeight="false" outlineLevel="0" collapsed="false">
      <c r="A476" s="5" t="str">
        <f aca="false">IF(B476="","",ROW()-3)</f>
        <v/>
      </c>
      <c r="B476" s="6"/>
      <c r="C476" s="7"/>
      <c r="D476" s="7"/>
      <c r="E476" s="8"/>
      <c r="F476" s="7"/>
      <c r="G476" s="9" t="str">
        <f aca="true">IF(B476="","",IF(F476="完了","✓ 完了",IF(E476="","⚠ 期限未設定",IF(E476&lt;TODAY(),"🔴 超過",IF(E476=TODAY(),"🟡 今日","")))))</f>
        <v/>
      </c>
      <c r="H476" s="6"/>
      <c r="I476" s="6"/>
      <c r="J476" s="8"/>
      <c r="K476" s="8"/>
    </row>
    <row r="477" customFormat="false" ht="15" hidden="false" customHeight="false" outlineLevel="0" collapsed="false">
      <c r="A477" s="5" t="str">
        <f aca="false">IF(B477="","",ROW()-3)</f>
        <v/>
      </c>
      <c r="B477" s="6"/>
      <c r="C477" s="7"/>
      <c r="D477" s="7"/>
      <c r="E477" s="8"/>
      <c r="F477" s="7"/>
      <c r="G477" s="9" t="str">
        <f aca="true">IF(B477="","",IF(F477="完了","✓ 完了",IF(E477="","⚠ 期限未設定",IF(E477&lt;TODAY(),"🔴 超過",IF(E477=TODAY(),"🟡 今日","")))))</f>
        <v/>
      </c>
      <c r="H477" s="6"/>
      <c r="I477" s="6"/>
      <c r="J477" s="8"/>
      <c r="K477" s="8"/>
    </row>
    <row r="478" customFormat="false" ht="15" hidden="false" customHeight="false" outlineLevel="0" collapsed="false">
      <c r="A478" s="5" t="str">
        <f aca="false">IF(B478="","",ROW()-3)</f>
        <v/>
      </c>
      <c r="B478" s="6"/>
      <c r="C478" s="7"/>
      <c r="D478" s="7"/>
      <c r="E478" s="8"/>
      <c r="F478" s="7"/>
      <c r="G478" s="9" t="str">
        <f aca="true">IF(B478="","",IF(F478="完了","✓ 完了",IF(E478="","⚠ 期限未設定",IF(E478&lt;TODAY(),"🔴 超過",IF(E478=TODAY(),"🟡 今日","")))))</f>
        <v/>
      </c>
      <c r="H478" s="6"/>
      <c r="I478" s="6"/>
      <c r="J478" s="8"/>
      <c r="K478" s="8"/>
    </row>
    <row r="479" customFormat="false" ht="15" hidden="false" customHeight="false" outlineLevel="0" collapsed="false">
      <c r="A479" s="5" t="str">
        <f aca="false">IF(B479="","",ROW()-3)</f>
        <v/>
      </c>
      <c r="B479" s="6"/>
      <c r="C479" s="7"/>
      <c r="D479" s="7"/>
      <c r="E479" s="8"/>
      <c r="F479" s="7"/>
      <c r="G479" s="9" t="str">
        <f aca="true">IF(B479="","",IF(F479="完了","✓ 完了",IF(E479="","⚠ 期限未設定",IF(E479&lt;TODAY(),"🔴 超過",IF(E479=TODAY(),"🟡 今日","")))))</f>
        <v/>
      </c>
      <c r="H479" s="6"/>
      <c r="I479" s="6"/>
      <c r="J479" s="8"/>
      <c r="K479" s="8"/>
    </row>
    <row r="480" customFormat="false" ht="15" hidden="false" customHeight="false" outlineLevel="0" collapsed="false">
      <c r="A480" s="5" t="str">
        <f aca="false">IF(B480="","",ROW()-3)</f>
        <v/>
      </c>
      <c r="B480" s="6"/>
      <c r="C480" s="7"/>
      <c r="D480" s="7"/>
      <c r="E480" s="8"/>
      <c r="F480" s="7"/>
      <c r="G480" s="9" t="str">
        <f aca="true">IF(B480="","",IF(F480="完了","✓ 完了",IF(E480="","⚠ 期限未設定",IF(E480&lt;TODAY(),"🔴 超過",IF(E480=TODAY(),"🟡 今日","")))))</f>
        <v/>
      </c>
      <c r="H480" s="6"/>
      <c r="I480" s="6"/>
      <c r="J480" s="8"/>
      <c r="K480" s="8"/>
    </row>
    <row r="481" customFormat="false" ht="15" hidden="false" customHeight="false" outlineLevel="0" collapsed="false">
      <c r="A481" s="5" t="str">
        <f aca="false">IF(B481="","",ROW()-3)</f>
        <v/>
      </c>
      <c r="B481" s="6"/>
      <c r="C481" s="7"/>
      <c r="D481" s="7"/>
      <c r="E481" s="8"/>
      <c r="F481" s="7"/>
      <c r="G481" s="9" t="str">
        <f aca="true">IF(B481="","",IF(F481="完了","✓ 完了",IF(E481="","⚠ 期限未設定",IF(E481&lt;TODAY(),"🔴 超過",IF(E481=TODAY(),"🟡 今日","")))))</f>
        <v/>
      </c>
      <c r="H481" s="6"/>
      <c r="I481" s="6"/>
      <c r="J481" s="8"/>
      <c r="K481" s="8"/>
    </row>
    <row r="482" customFormat="false" ht="15" hidden="false" customHeight="false" outlineLevel="0" collapsed="false">
      <c r="A482" s="5" t="str">
        <f aca="false">IF(B482="","",ROW()-3)</f>
        <v/>
      </c>
      <c r="B482" s="6"/>
      <c r="C482" s="7"/>
      <c r="D482" s="7"/>
      <c r="E482" s="8"/>
      <c r="F482" s="7"/>
      <c r="G482" s="9" t="str">
        <f aca="true">IF(B482="","",IF(F482="完了","✓ 完了",IF(E482="","⚠ 期限未設定",IF(E482&lt;TODAY(),"🔴 超過",IF(E482=TODAY(),"🟡 今日","")))))</f>
        <v/>
      </c>
      <c r="H482" s="6"/>
      <c r="I482" s="6"/>
      <c r="J482" s="8"/>
      <c r="K482" s="8"/>
    </row>
    <row r="483" customFormat="false" ht="15" hidden="false" customHeight="false" outlineLevel="0" collapsed="false">
      <c r="A483" s="5" t="str">
        <f aca="false">IF(B483="","",ROW()-3)</f>
        <v/>
      </c>
      <c r="B483" s="6"/>
      <c r="C483" s="7"/>
      <c r="D483" s="7"/>
      <c r="E483" s="8"/>
      <c r="F483" s="7"/>
      <c r="G483" s="9" t="str">
        <f aca="true">IF(B483="","",IF(F483="完了","✓ 完了",IF(E483="","⚠ 期限未設定",IF(E483&lt;TODAY(),"🔴 超過",IF(E483=TODAY(),"🟡 今日","")))))</f>
        <v/>
      </c>
      <c r="H483" s="6"/>
      <c r="I483" s="6"/>
      <c r="J483" s="8"/>
      <c r="K483" s="8"/>
    </row>
    <row r="484" customFormat="false" ht="15" hidden="false" customHeight="false" outlineLevel="0" collapsed="false">
      <c r="A484" s="5" t="str">
        <f aca="false">IF(B484="","",ROW()-3)</f>
        <v/>
      </c>
      <c r="B484" s="6"/>
      <c r="C484" s="7"/>
      <c r="D484" s="7"/>
      <c r="E484" s="8"/>
      <c r="F484" s="7"/>
      <c r="G484" s="9" t="str">
        <f aca="true">IF(B484="","",IF(F484="完了","✓ 完了",IF(E484="","⚠ 期限未設定",IF(E484&lt;TODAY(),"🔴 超過",IF(E484=TODAY(),"🟡 今日","")))))</f>
        <v/>
      </c>
      <c r="H484" s="6"/>
      <c r="I484" s="6"/>
      <c r="J484" s="8"/>
      <c r="K484" s="8"/>
    </row>
    <row r="485" customFormat="false" ht="15" hidden="false" customHeight="false" outlineLevel="0" collapsed="false">
      <c r="A485" s="5" t="str">
        <f aca="false">IF(B485="","",ROW()-3)</f>
        <v/>
      </c>
      <c r="B485" s="6"/>
      <c r="C485" s="7"/>
      <c r="D485" s="7"/>
      <c r="E485" s="8"/>
      <c r="F485" s="7"/>
      <c r="G485" s="9" t="str">
        <f aca="true">IF(B485="","",IF(F485="完了","✓ 完了",IF(E485="","⚠ 期限未設定",IF(E485&lt;TODAY(),"🔴 超過",IF(E485=TODAY(),"🟡 今日","")))))</f>
        <v/>
      </c>
      <c r="H485" s="6"/>
      <c r="I485" s="6"/>
      <c r="J485" s="8"/>
      <c r="K485" s="8"/>
    </row>
    <row r="486" customFormat="false" ht="15" hidden="false" customHeight="false" outlineLevel="0" collapsed="false">
      <c r="A486" s="5" t="str">
        <f aca="false">IF(B486="","",ROW()-3)</f>
        <v/>
      </c>
      <c r="B486" s="6"/>
      <c r="C486" s="7"/>
      <c r="D486" s="7"/>
      <c r="E486" s="8"/>
      <c r="F486" s="7"/>
      <c r="G486" s="9" t="str">
        <f aca="true">IF(B486="","",IF(F486="完了","✓ 完了",IF(E486="","⚠ 期限未設定",IF(E486&lt;TODAY(),"🔴 超過",IF(E486=TODAY(),"🟡 今日","")))))</f>
        <v/>
      </c>
      <c r="H486" s="6"/>
      <c r="I486" s="6"/>
      <c r="J486" s="8"/>
      <c r="K486" s="8"/>
    </row>
    <row r="487" customFormat="false" ht="15" hidden="false" customHeight="false" outlineLevel="0" collapsed="false">
      <c r="A487" s="5" t="str">
        <f aca="false">IF(B487="","",ROW()-3)</f>
        <v/>
      </c>
      <c r="B487" s="6"/>
      <c r="C487" s="7"/>
      <c r="D487" s="7"/>
      <c r="E487" s="8"/>
      <c r="F487" s="7"/>
      <c r="G487" s="9" t="str">
        <f aca="true">IF(B487="","",IF(F487="完了","✓ 完了",IF(E487="","⚠ 期限未設定",IF(E487&lt;TODAY(),"🔴 超過",IF(E487=TODAY(),"🟡 今日","")))))</f>
        <v/>
      </c>
      <c r="H487" s="6"/>
      <c r="I487" s="6"/>
      <c r="J487" s="8"/>
      <c r="K487" s="8"/>
    </row>
    <row r="488" customFormat="false" ht="15" hidden="false" customHeight="false" outlineLevel="0" collapsed="false">
      <c r="A488" s="5" t="str">
        <f aca="false">IF(B488="","",ROW()-3)</f>
        <v/>
      </c>
      <c r="B488" s="6"/>
      <c r="C488" s="7"/>
      <c r="D488" s="7"/>
      <c r="E488" s="8"/>
      <c r="F488" s="7"/>
      <c r="G488" s="9" t="str">
        <f aca="true">IF(B488="","",IF(F488="完了","✓ 完了",IF(E488="","⚠ 期限未設定",IF(E488&lt;TODAY(),"🔴 超過",IF(E488=TODAY(),"🟡 今日","")))))</f>
        <v/>
      </c>
      <c r="H488" s="6"/>
      <c r="I488" s="6"/>
      <c r="J488" s="8"/>
      <c r="K488" s="8"/>
    </row>
    <row r="489" customFormat="false" ht="15" hidden="false" customHeight="false" outlineLevel="0" collapsed="false">
      <c r="A489" s="5" t="str">
        <f aca="false">IF(B489="","",ROW()-3)</f>
        <v/>
      </c>
      <c r="B489" s="6"/>
      <c r="C489" s="7"/>
      <c r="D489" s="7"/>
      <c r="E489" s="8"/>
      <c r="F489" s="7"/>
      <c r="G489" s="9" t="str">
        <f aca="true">IF(B489="","",IF(F489="完了","✓ 完了",IF(E489="","⚠ 期限未設定",IF(E489&lt;TODAY(),"🔴 超過",IF(E489=TODAY(),"🟡 今日","")))))</f>
        <v/>
      </c>
      <c r="H489" s="6"/>
      <c r="I489" s="6"/>
      <c r="J489" s="8"/>
      <c r="K489" s="8"/>
    </row>
    <row r="490" customFormat="false" ht="15" hidden="false" customHeight="false" outlineLevel="0" collapsed="false">
      <c r="A490" s="5" t="str">
        <f aca="false">IF(B490="","",ROW()-3)</f>
        <v/>
      </c>
      <c r="B490" s="6"/>
      <c r="C490" s="7"/>
      <c r="D490" s="7"/>
      <c r="E490" s="8"/>
      <c r="F490" s="7"/>
      <c r="G490" s="9" t="str">
        <f aca="true">IF(B490="","",IF(F490="完了","✓ 完了",IF(E490="","⚠ 期限未設定",IF(E490&lt;TODAY(),"🔴 超過",IF(E490=TODAY(),"🟡 今日","")))))</f>
        <v/>
      </c>
      <c r="H490" s="6"/>
      <c r="I490" s="6"/>
      <c r="J490" s="8"/>
      <c r="K490" s="8"/>
    </row>
    <row r="491" customFormat="false" ht="15" hidden="false" customHeight="false" outlineLevel="0" collapsed="false">
      <c r="A491" s="5" t="str">
        <f aca="false">IF(B491="","",ROW()-3)</f>
        <v/>
      </c>
      <c r="B491" s="6"/>
      <c r="C491" s="7"/>
      <c r="D491" s="7"/>
      <c r="E491" s="8"/>
      <c r="F491" s="7"/>
      <c r="G491" s="9" t="str">
        <f aca="true">IF(B491="","",IF(F491="完了","✓ 完了",IF(E491="","⚠ 期限未設定",IF(E491&lt;TODAY(),"🔴 超過",IF(E491=TODAY(),"🟡 今日","")))))</f>
        <v/>
      </c>
      <c r="H491" s="6"/>
      <c r="I491" s="6"/>
      <c r="J491" s="8"/>
      <c r="K491" s="8"/>
    </row>
    <row r="492" customFormat="false" ht="15" hidden="false" customHeight="false" outlineLevel="0" collapsed="false">
      <c r="A492" s="5" t="str">
        <f aca="false">IF(B492="","",ROW()-3)</f>
        <v/>
      </c>
      <c r="B492" s="6"/>
      <c r="C492" s="7"/>
      <c r="D492" s="7"/>
      <c r="E492" s="8"/>
      <c r="F492" s="7"/>
      <c r="G492" s="9" t="str">
        <f aca="true">IF(B492="","",IF(F492="完了","✓ 完了",IF(E492="","⚠ 期限未設定",IF(E492&lt;TODAY(),"🔴 超過",IF(E492=TODAY(),"🟡 今日","")))))</f>
        <v/>
      </c>
      <c r="H492" s="6"/>
      <c r="I492" s="6"/>
      <c r="J492" s="8"/>
      <c r="K492" s="8"/>
    </row>
    <row r="493" customFormat="false" ht="15" hidden="false" customHeight="false" outlineLevel="0" collapsed="false">
      <c r="A493" s="5" t="str">
        <f aca="false">IF(B493="","",ROW()-3)</f>
        <v/>
      </c>
      <c r="B493" s="6"/>
      <c r="C493" s="7"/>
      <c r="D493" s="7"/>
      <c r="E493" s="8"/>
      <c r="F493" s="7"/>
      <c r="G493" s="9" t="str">
        <f aca="true">IF(B493="","",IF(F493="完了","✓ 完了",IF(E493="","⚠ 期限未設定",IF(E493&lt;TODAY(),"🔴 超過",IF(E493=TODAY(),"🟡 今日","")))))</f>
        <v/>
      </c>
      <c r="H493" s="6"/>
      <c r="I493" s="6"/>
      <c r="J493" s="8"/>
      <c r="K493" s="8"/>
    </row>
    <row r="494" customFormat="false" ht="15" hidden="false" customHeight="false" outlineLevel="0" collapsed="false">
      <c r="A494" s="5" t="str">
        <f aca="false">IF(B494="","",ROW()-3)</f>
        <v/>
      </c>
      <c r="B494" s="6"/>
      <c r="C494" s="7"/>
      <c r="D494" s="7"/>
      <c r="E494" s="8"/>
      <c r="F494" s="7"/>
      <c r="G494" s="9" t="str">
        <f aca="true">IF(B494="","",IF(F494="完了","✓ 完了",IF(E494="","⚠ 期限未設定",IF(E494&lt;TODAY(),"🔴 超過",IF(E494=TODAY(),"🟡 今日","")))))</f>
        <v/>
      </c>
      <c r="H494" s="6"/>
      <c r="I494" s="6"/>
      <c r="J494" s="8"/>
      <c r="K494" s="8"/>
    </row>
    <row r="495" customFormat="false" ht="15" hidden="false" customHeight="false" outlineLevel="0" collapsed="false">
      <c r="A495" s="5" t="str">
        <f aca="false">IF(B495="","",ROW()-3)</f>
        <v/>
      </c>
      <c r="B495" s="6"/>
      <c r="C495" s="7"/>
      <c r="D495" s="7"/>
      <c r="E495" s="8"/>
      <c r="F495" s="7"/>
      <c r="G495" s="9" t="str">
        <f aca="true">IF(B495="","",IF(F495="完了","✓ 完了",IF(E495="","⚠ 期限未設定",IF(E495&lt;TODAY(),"🔴 超過",IF(E495=TODAY(),"🟡 今日","")))))</f>
        <v/>
      </c>
      <c r="H495" s="6"/>
      <c r="I495" s="6"/>
      <c r="J495" s="8"/>
      <c r="K495" s="8"/>
    </row>
    <row r="496" customFormat="false" ht="15" hidden="false" customHeight="false" outlineLevel="0" collapsed="false">
      <c r="A496" s="5" t="str">
        <f aca="false">IF(B496="","",ROW()-3)</f>
        <v/>
      </c>
      <c r="B496" s="6"/>
      <c r="C496" s="7"/>
      <c r="D496" s="7"/>
      <c r="E496" s="8"/>
      <c r="F496" s="7"/>
      <c r="G496" s="9" t="str">
        <f aca="true">IF(B496="","",IF(F496="完了","✓ 完了",IF(E496="","⚠ 期限未設定",IF(E496&lt;TODAY(),"🔴 超過",IF(E496=TODAY(),"🟡 今日","")))))</f>
        <v/>
      </c>
      <c r="H496" s="6"/>
      <c r="I496" s="6"/>
      <c r="J496" s="8"/>
      <c r="K496" s="8"/>
    </row>
    <row r="497" customFormat="false" ht="15" hidden="false" customHeight="false" outlineLevel="0" collapsed="false">
      <c r="A497" s="5" t="str">
        <f aca="false">IF(B497="","",ROW()-3)</f>
        <v/>
      </c>
      <c r="B497" s="6"/>
      <c r="C497" s="7"/>
      <c r="D497" s="7"/>
      <c r="E497" s="8"/>
      <c r="F497" s="7"/>
      <c r="G497" s="9" t="str">
        <f aca="true">IF(B497="","",IF(F497="完了","✓ 完了",IF(E497="","⚠ 期限未設定",IF(E497&lt;TODAY(),"🔴 超過",IF(E497=TODAY(),"🟡 今日","")))))</f>
        <v/>
      </c>
      <c r="H497" s="6"/>
      <c r="I497" s="6"/>
      <c r="J497" s="8"/>
      <c r="K497" s="8"/>
    </row>
    <row r="498" customFormat="false" ht="15" hidden="false" customHeight="false" outlineLevel="0" collapsed="false">
      <c r="A498" s="5" t="str">
        <f aca="false">IF(B498="","",ROW()-3)</f>
        <v/>
      </c>
      <c r="B498" s="6"/>
      <c r="C498" s="7"/>
      <c r="D498" s="7"/>
      <c r="E498" s="8"/>
      <c r="F498" s="7"/>
      <c r="G498" s="9" t="str">
        <f aca="true">IF(B498="","",IF(F498="完了","✓ 完了",IF(E498="","⚠ 期限未設定",IF(E498&lt;TODAY(),"🔴 超過",IF(E498=TODAY(),"🟡 今日","")))))</f>
        <v/>
      </c>
      <c r="H498" s="6"/>
      <c r="I498" s="6"/>
      <c r="J498" s="8"/>
      <c r="K498" s="8"/>
    </row>
    <row r="499" customFormat="false" ht="15" hidden="false" customHeight="false" outlineLevel="0" collapsed="false">
      <c r="A499" s="5" t="str">
        <f aca="false">IF(B499="","",ROW()-3)</f>
        <v/>
      </c>
      <c r="B499" s="6"/>
      <c r="C499" s="7"/>
      <c r="D499" s="7"/>
      <c r="E499" s="8"/>
      <c r="F499" s="7"/>
      <c r="G499" s="9" t="str">
        <f aca="true">IF(B499="","",IF(F499="完了","✓ 完了",IF(E499="","⚠ 期限未設定",IF(E499&lt;TODAY(),"🔴 超過",IF(E499=TODAY(),"🟡 今日","")))))</f>
        <v/>
      </c>
      <c r="H499" s="6"/>
      <c r="I499" s="6"/>
      <c r="J499" s="8"/>
      <c r="K499" s="8"/>
    </row>
    <row r="500" customFormat="false" ht="15" hidden="false" customHeight="false" outlineLevel="0" collapsed="false">
      <c r="A500" s="5" t="str">
        <f aca="false">IF(B500="","",ROW()-3)</f>
        <v/>
      </c>
      <c r="B500" s="6"/>
      <c r="C500" s="7"/>
      <c r="D500" s="7"/>
      <c r="E500" s="8"/>
      <c r="F500" s="7"/>
      <c r="G500" s="9" t="str">
        <f aca="true">IF(B500="","",IF(F500="完了","✓ 完了",IF(E500="","⚠ 期限未設定",IF(E500&lt;TODAY(),"🔴 超過",IF(E500=TODAY(),"🟡 今日","")))))</f>
        <v/>
      </c>
      <c r="H500" s="6"/>
      <c r="I500" s="6"/>
      <c r="J500" s="8"/>
      <c r="K500" s="8"/>
    </row>
    <row r="501" customFormat="false" ht="15" hidden="false" customHeight="false" outlineLevel="0" collapsed="false">
      <c r="A501" s="5" t="str">
        <f aca="false">IF(B501="","",ROW()-3)</f>
        <v/>
      </c>
      <c r="B501" s="6"/>
      <c r="C501" s="7"/>
      <c r="D501" s="7"/>
      <c r="E501" s="8"/>
      <c r="F501" s="7"/>
      <c r="G501" s="9" t="str">
        <f aca="true">IF(B501="","",IF(F501="完了","✓ 完了",IF(E501="","⚠ 期限未設定",IF(E501&lt;TODAY(),"🔴 超過",IF(E501=TODAY(),"🟡 今日","")))))</f>
        <v/>
      </c>
      <c r="H501" s="6"/>
      <c r="I501" s="6"/>
      <c r="J501" s="8"/>
      <c r="K501" s="8"/>
    </row>
    <row r="502" customFormat="false" ht="15" hidden="false" customHeight="false" outlineLevel="0" collapsed="false">
      <c r="A502" s="5" t="str">
        <f aca="false">IF(B502="","",ROW()-3)</f>
        <v/>
      </c>
      <c r="B502" s="6"/>
      <c r="C502" s="7"/>
      <c r="D502" s="7"/>
      <c r="E502" s="8"/>
      <c r="F502" s="7"/>
      <c r="G502" s="9" t="str">
        <f aca="true">IF(B502="","",IF(F502="完了","✓ 完了",IF(E502="","⚠ 期限未設定",IF(E502&lt;TODAY(),"🔴 超過",IF(E502=TODAY(),"🟡 今日","")))))</f>
        <v/>
      </c>
      <c r="H502" s="6"/>
      <c r="I502" s="6"/>
      <c r="J502" s="8"/>
      <c r="K502" s="8"/>
    </row>
    <row r="503" customFormat="false" ht="15" hidden="false" customHeight="false" outlineLevel="0" collapsed="false">
      <c r="A503" s="5" t="str">
        <f aca="false">IF(B503="","",ROW()-3)</f>
        <v/>
      </c>
      <c r="B503" s="6"/>
      <c r="C503" s="7"/>
      <c r="D503" s="7"/>
      <c r="E503" s="8"/>
      <c r="F503" s="7"/>
      <c r="G503" s="9" t="str">
        <f aca="true">IF(B503="","",IF(F503="完了","✓ 完了",IF(E503="","⚠ 期限未設定",IF(E503&lt;TODAY(),"🔴 超過",IF(E503=TODAY(),"🟡 今日","")))))</f>
        <v/>
      </c>
      <c r="H503" s="6"/>
      <c r="I503" s="6"/>
      <c r="J503" s="8"/>
      <c r="K503" s="8"/>
    </row>
  </sheetData>
  <autoFilter ref="A3:K503"/>
  <conditionalFormatting sqref="A4:K503">
    <cfRule type="expression" priority="2" aboveAverage="0" equalAverage="0" bottom="0" percent="0" rank="0" text="" dxfId="7">
      <formula>$F4="完了"</formula>
    </cfRule>
    <cfRule type="expression" priority="3" aboveAverage="0" equalAverage="0" bottom="0" percent="0" rank="0" text="" dxfId="8">
      <formula>AND($B4&lt;&gt;"",$F4&lt;&gt;"完了",$E4&lt;&gt;"",$E4&lt;TODAY())</formula>
    </cfRule>
    <cfRule type="expression" priority="4" aboveAverage="0" equalAverage="0" bottom="0" percent="0" rank="0" text="" dxfId="9">
      <formula>AND($B4&lt;&gt;"",$F4&lt;&gt;"完了",$E4=TODAY())</formula>
    </cfRule>
    <cfRule type="expression" priority="5" aboveAverage="0" equalAverage="0" bottom="0" percent="0" rank="0" text="" dxfId="10">
      <formula>$F4="レビュー待ち"</formula>
    </cfRule>
  </conditionalFormatting>
  <dataValidations count="2">
    <dataValidation allowBlank="true" error="プルダウンから選択してください" errorStyle="stop" errorTitle="入力エラー" operator="between" showDropDown="false" showErrorMessage="true" showInputMessage="false" sqref="F4:F503" type="list">
      <formula1>状態リスト</formula1>
      <formula2>0</formula2>
    </dataValidation>
    <dataValidation allowBlank="true" errorStyle="stop" operator="between" showDropDown="false" showErrorMessage="false" showInputMessage="false" sqref="C4:C503" type="list">
      <formula1>メンバーリスト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2"/>
  </cols>
  <sheetData>
    <row r="1" customFormat="false" ht="19.4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10" t="s">
        <v>30</v>
      </c>
      <c r="B4" s="11" t="s">
        <v>31</v>
      </c>
      <c r="C4" s="12" t="s">
        <v>32</v>
      </c>
      <c r="D4" s="13" t="s">
        <v>33</v>
      </c>
      <c r="E4" s="14" t="s">
        <v>34</v>
      </c>
    </row>
    <row r="5" customFormat="false" ht="30" hidden="false" customHeight="true" outlineLevel="0" collapsed="false">
      <c r="A5" s="15" t="n">
        <f aca="false">COUNTIF(タスク!$G$4:$G$503,"🔴 超過")</f>
        <v>1</v>
      </c>
      <c r="B5" s="16" t="n">
        <f aca="false">COUNTIF(タスク!$G$4:$G$503,"🟡 今日")</f>
        <v>1</v>
      </c>
      <c r="C5" s="17" t="n">
        <f aca="false">COUNTIF(タスク!$F$4:$F$503,"レビュー待ち")</f>
        <v>1</v>
      </c>
      <c r="D5" s="18" t="n">
        <f aca="false">COUNTIF(タスク!$G$4:$G$503,"⚠ 期限未設定")</f>
        <v>0</v>
      </c>
      <c r="E5" s="19" t="n">
        <f aca="false">COUNTIF(タスク!$F$4:$F$503,"進行中")</f>
        <v>1</v>
      </c>
    </row>
    <row r="8" customFormat="false" ht="15" hidden="false" customHeight="false" outlineLevel="0" collapsed="false">
      <c r="A8" s="20" t="s">
        <v>35</v>
      </c>
    </row>
    <row r="9" customFormat="false" ht="15" hidden="false" customHeight="false" outlineLevel="0" collapsed="false">
      <c r="A9" s="21" t="s">
        <v>4</v>
      </c>
      <c r="B9" s="21" t="s">
        <v>25</v>
      </c>
      <c r="C9" s="21" t="s">
        <v>16</v>
      </c>
      <c r="D9" s="21" t="s">
        <v>20</v>
      </c>
      <c r="E9" s="21" t="s">
        <v>36</v>
      </c>
      <c r="F9" s="21" t="s">
        <v>37</v>
      </c>
      <c r="G9" s="21" t="s">
        <v>38</v>
      </c>
    </row>
    <row r="10" customFormat="false" ht="15" hidden="false" customHeight="false" outlineLevel="0" collapsed="false">
      <c r="A10" s="9" t="str">
        <f aca="false">IF(設定!$A$4="","",設定!$A$4)</f>
        <v>新人A</v>
      </c>
      <c r="B10" s="9" t="n">
        <f aca="false">IF(設定!$A$4="","",COUNTIFS(タスク!$C$4:$C$503,設定!$A$4,タスク!$F$4:$F$503,"未着手"))</f>
        <v>0</v>
      </c>
      <c r="C10" s="9" t="n">
        <f aca="false">IF(設定!$A$4="","",COUNTIFS(タスク!$C$4:$C$503,設定!$A$4,タスク!$F$4:$F$503,"進行中"))</f>
        <v>1</v>
      </c>
      <c r="D10" s="9" t="n">
        <f aca="false">IF(設定!$A$4="","",COUNTIFS(タスク!$C$4:$C$503,設定!$A$4,タスク!$F$4:$F$503,"レビュー待ち"))</f>
        <v>1</v>
      </c>
      <c r="E10" s="9" t="n">
        <f aca="false">IF(設定!$A$4="","",COUNTIFS(タスク!$C$4:$C$503,設定!$A$4,タスク!$G$4:$G$503,"🔴 超過"))</f>
        <v>1</v>
      </c>
      <c r="F10" s="9" t="n">
        <f aca="false">IF(設定!$A$4="","",COUNTIFS(タスク!$C$4:$C$503,設定!$A$4,タスク!$G$4:$G$503,"🟡 今日"))</f>
        <v>1</v>
      </c>
      <c r="G10" s="9" t="n">
        <f aca="false">IF(設定!$A$4="","",B10+C10+D10)</f>
        <v>2</v>
      </c>
    </row>
    <row r="11" customFormat="false" ht="15" hidden="false" customHeight="false" outlineLevel="0" collapsed="false">
      <c r="A11" s="9" t="str">
        <f aca="false">IF(設定!$A$5="","",設定!$A$5)</f>
        <v>新人B</v>
      </c>
      <c r="B11" s="9" t="n">
        <f aca="false">IF(設定!$A$5="","",COUNTIFS(タスク!$C$4:$C$503,設定!$A$5,タスク!$F$4:$F$503,"未着手"))</f>
        <v>1</v>
      </c>
      <c r="C11" s="9" t="n">
        <f aca="false">IF(設定!$A$5="","",COUNTIFS(タスク!$C$4:$C$503,設定!$A$5,タスク!$F$4:$F$503,"進行中"))</f>
        <v>0</v>
      </c>
      <c r="D11" s="9" t="n">
        <f aca="false">IF(設定!$A$5="","",COUNTIFS(タスク!$C$4:$C$503,設定!$A$5,タスク!$F$4:$F$503,"レビュー待ち"))</f>
        <v>0</v>
      </c>
      <c r="E11" s="9" t="n">
        <f aca="false">IF(設定!$A$5="","",COUNTIFS(タスク!$C$4:$C$503,設定!$A$5,タスク!$G$4:$G$503,"🔴 超過"))</f>
        <v>0</v>
      </c>
      <c r="F11" s="9" t="n">
        <f aca="false">IF(設定!$A$5="","",COUNTIFS(タスク!$C$4:$C$503,設定!$A$5,タスク!$G$4:$G$503,"🟡 今日"))</f>
        <v>0</v>
      </c>
      <c r="G11" s="9" t="n">
        <f aca="false">IF(設定!$A$5="","",B11+C11+D11)</f>
        <v>1</v>
      </c>
    </row>
    <row r="12" customFormat="false" ht="15" hidden="false" customHeight="false" outlineLevel="0" collapsed="false">
      <c r="A12" s="9" t="str">
        <f aca="false">IF(設定!$A$6="","",設定!$A$6)</f>
        <v>メンターX</v>
      </c>
      <c r="B12" s="9" t="n">
        <f aca="false">IF(設定!$A$6="","",COUNTIFS(タスク!$C$4:$C$503,設定!$A$6,タスク!$F$4:$F$503,"未着手"))</f>
        <v>0</v>
      </c>
      <c r="C12" s="9" t="n">
        <f aca="false">IF(設定!$A$6="","",COUNTIFS(タスク!$C$4:$C$503,設定!$A$6,タスク!$F$4:$F$503,"進行中"))</f>
        <v>0</v>
      </c>
      <c r="D12" s="9" t="n">
        <f aca="false">IF(設定!$A$6="","",COUNTIFS(タスク!$C$4:$C$503,設定!$A$6,タスク!$F$4:$F$503,"レビュー待ち"))</f>
        <v>0</v>
      </c>
      <c r="E12" s="9" t="n">
        <f aca="false">IF(設定!$A$6="","",COUNTIFS(タスク!$C$4:$C$503,設定!$A$6,タスク!$G$4:$G$503,"🔴 超過"))</f>
        <v>0</v>
      </c>
      <c r="F12" s="9" t="n">
        <f aca="false">IF(設定!$A$6="","",COUNTIFS(タスク!$C$4:$C$503,設定!$A$6,タスク!$G$4:$G$503,"🟡 今日"))</f>
        <v>0</v>
      </c>
      <c r="G12" s="9" t="n">
        <f aca="false">IF(設定!$A$6="","",B12+C12+D12)</f>
        <v>0</v>
      </c>
    </row>
    <row r="13" customFormat="false" ht="15" hidden="false" customHeight="false" outlineLevel="0" collapsed="false">
      <c r="A13" s="9" t="str">
        <f aca="false">IF(設定!$A$7="","",設定!$A$7)</f>
        <v>リーダーY</v>
      </c>
      <c r="B13" s="9" t="n">
        <f aca="false">IF(設定!$A$7="","",COUNTIFS(タスク!$C$4:$C$503,設定!$A$7,タスク!$F$4:$F$503,"未着手"))</f>
        <v>0</v>
      </c>
      <c r="C13" s="9" t="n">
        <f aca="false">IF(設定!$A$7="","",COUNTIFS(タスク!$C$4:$C$503,設定!$A$7,タスク!$F$4:$F$503,"進行中"))</f>
        <v>0</v>
      </c>
      <c r="D13" s="9" t="n">
        <f aca="false">IF(設定!$A$7="","",COUNTIFS(タスク!$C$4:$C$503,設定!$A$7,タスク!$F$4:$F$503,"レビュー待ち"))</f>
        <v>0</v>
      </c>
      <c r="E13" s="9" t="n">
        <f aca="false">IF(設定!$A$7="","",COUNTIFS(タスク!$C$4:$C$503,設定!$A$7,タスク!$G$4:$G$503,"🔴 超過"))</f>
        <v>0</v>
      </c>
      <c r="F13" s="9" t="n">
        <f aca="false">IF(設定!$A$7="","",COUNTIFS(タスク!$C$4:$C$503,設定!$A$7,タスク!$G$4:$G$503,"🟡 今日"))</f>
        <v>0</v>
      </c>
      <c r="G13" s="9" t="n">
        <f aca="false">IF(設定!$A$7="","",B13+C13+D13)</f>
        <v>0</v>
      </c>
    </row>
    <row r="14" customFormat="false" ht="15" hidden="false" customHeight="false" outlineLevel="0" collapsed="false">
      <c r="A14" s="9" t="str">
        <f aca="false">IF(設定!$A$8="","",設定!$A$8)</f>
        <v/>
      </c>
      <c r="B14" s="9" t="str">
        <f aca="false">IF(設定!$A$8="","",COUNTIFS(タスク!$C$4:$C$503,設定!$A$8,タスク!$F$4:$F$503,"未着手"))</f>
        <v/>
      </c>
      <c r="C14" s="9" t="str">
        <f aca="false">IF(設定!$A$8="","",COUNTIFS(タスク!$C$4:$C$503,設定!$A$8,タスク!$F$4:$F$503,"進行中"))</f>
        <v/>
      </c>
      <c r="D14" s="9" t="str">
        <f aca="false">IF(設定!$A$8="","",COUNTIFS(タスク!$C$4:$C$503,設定!$A$8,タスク!$F$4:$F$503,"レビュー待ち"))</f>
        <v/>
      </c>
      <c r="E14" s="9" t="str">
        <f aca="false">IF(設定!$A$8="","",COUNTIFS(タスク!$C$4:$C$503,設定!$A$8,タスク!$G$4:$G$503,"🔴 超過"))</f>
        <v/>
      </c>
      <c r="F14" s="9" t="str">
        <f aca="false">IF(設定!$A$8="","",COUNTIFS(タスク!$C$4:$C$503,設定!$A$8,タスク!$G$4:$G$503,"🟡 今日"))</f>
        <v/>
      </c>
      <c r="G14" s="9" t="str">
        <f aca="false">IF(設定!$A$8="","",B14+C14+D14)</f>
        <v/>
      </c>
    </row>
    <row r="15" customFormat="false" ht="15" hidden="false" customHeight="false" outlineLevel="0" collapsed="false">
      <c r="A15" s="9" t="str">
        <f aca="false">IF(設定!$A$9="","",設定!$A$9)</f>
        <v/>
      </c>
      <c r="B15" s="9" t="str">
        <f aca="false">IF(設定!$A$9="","",COUNTIFS(タスク!$C$4:$C$503,設定!$A$9,タスク!$F$4:$F$503,"未着手"))</f>
        <v/>
      </c>
      <c r="C15" s="9" t="str">
        <f aca="false">IF(設定!$A$9="","",COUNTIFS(タスク!$C$4:$C$503,設定!$A$9,タスク!$F$4:$F$503,"進行中"))</f>
        <v/>
      </c>
      <c r="D15" s="9" t="str">
        <f aca="false">IF(設定!$A$9="","",COUNTIFS(タスク!$C$4:$C$503,設定!$A$9,タスク!$F$4:$F$503,"レビュー待ち"))</f>
        <v/>
      </c>
      <c r="E15" s="9" t="str">
        <f aca="false">IF(設定!$A$9="","",COUNTIFS(タスク!$C$4:$C$503,設定!$A$9,タスク!$G$4:$G$503,"🔴 超過"))</f>
        <v/>
      </c>
      <c r="F15" s="9" t="str">
        <f aca="false">IF(設定!$A$9="","",COUNTIFS(タスク!$C$4:$C$503,設定!$A$9,タスク!$G$4:$G$503,"🟡 今日"))</f>
        <v/>
      </c>
      <c r="G15" s="9" t="str">
        <f aca="false">IF(設定!$A$9="","",B15+C15+D15)</f>
        <v/>
      </c>
    </row>
    <row r="16" customFormat="false" ht="15" hidden="false" customHeight="false" outlineLevel="0" collapsed="false">
      <c r="A16" s="9" t="str">
        <f aca="false">IF(設定!$A$10="","",設定!$A$10)</f>
        <v/>
      </c>
      <c r="B16" s="9" t="str">
        <f aca="false">IF(設定!$A$10="","",COUNTIFS(タスク!$C$4:$C$503,設定!$A$10,タスク!$F$4:$F$503,"未着手"))</f>
        <v/>
      </c>
      <c r="C16" s="9" t="str">
        <f aca="false">IF(設定!$A$10="","",COUNTIFS(タスク!$C$4:$C$503,設定!$A$10,タスク!$F$4:$F$503,"進行中"))</f>
        <v/>
      </c>
      <c r="D16" s="9" t="str">
        <f aca="false">IF(設定!$A$10="","",COUNTIFS(タスク!$C$4:$C$503,設定!$A$10,タスク!$F$4:$F$503,"レビュー待ち"))</f>
        <v/>
      </c>
      <c r="E16" s="9" t="str">
        <f aca="false">IF(設定!$A$10="","",COUNTIFS(タスク!$C$4:$C$503,設定!$A$10,タスク!$G$4:$G$503,"🔴 超過"))</f>
        <v/>
      </c>
      <c r="F16" s="9" t="str">
        <f aca="false">IF(設定!$A$10="","",COUNTIFS(タスク!$C$4:$C$503,設定!$A$10,タスク!$G$4:$G$503,"🟡 今日"))</f>
        <v/>
      </c>
      <c r="G16" s="9" t="str">
        <f aca="false">IF(設定!$A$10="","",B16+C16+D16)</f>
        <v/>
      </c>
    </row>
    <row r="17" customFormat="false" ht="15" hidden="false" customHeight="false" outlineLevel="0" collapsed="false">
      <c r="A17" s="9" t="str">
        <f aca="false">IF(設定!$A$11="","",設定!$A$11)</f>
        <v/>
      </c>
      <c r="B17" s="9" t="str">
        <f aca="false">IF(設定!$A$11="","",COUNTIFS(タスク!$C$4:$C$503,設定!$A$11,タスク!$F$4:$F$503,"未着手"))</f>
        <v/>
      </c>
      <c r="C17" s="9" t="str">
        <f aca="false">IF(設定!$A$11="","",COUNTIFS(タスク!$C$4:$C$503,設定!$A$11,タスク!$F$4:$F$503,"進行中"))</f>
        <v/>
      </c>
      <c r="D17" s="9" t="str">
        <f aca="false">IF(設定!$A$11="","",COUNTIFS(タスク!$C$4:$C$503,設定!$A$11,タスク!$F$4:$F$503,"レビュー待ち"))</f>
        <v/>
      </c>
      <c r="E17" s="9" t="str">
        <f aca="false">IF(設定!$A$11="","",COUNTIFS(タスク!$C$4:$C$503,設定!$A$11,タスク!$G$4:$G$503,"🔴 超過"))</f>
        <v/>
      </c>
      <c r="F17" s="9" t="str">
        <f aca="false">IF(設定!$A$11="","",COUNTIFS(タスク!$C$4:$C$503,設定!$A$11,タスク!$G$4:$G$503,"🟡 今日"))</f>
        <v/>
      </c>
      <c r="G17" s="9" t="str">
        <f aca="false">IF(設定!$A$11="","",B17+C17+D17)</f>
        <v/>
      </c>
    </row>
    <row r="18" customFormat="false" ht="15" hidden="false" customHeight="false" outlineLevel="0" collapsed="false">
      <c r="A18" s="9" t="str">
        <f aca="false">IF(設定!$A$12="","",設定!$A$12)</f>
        <v/>
      </c>
      <c r="B18" s="9" t="str">
        <f aca="false">IF(設定!$A$12="","",COUNTIFS(タスク!$C$4:$C$503,設定!$A$12,タスク!$F$4:$F$503,"未着手"))</f>
        <v/>
      </c>
      <c r="C18" s="9" t="str">
        <f aca="false">IF(設定!$A$12="","",COUNTIFS(タスク!$C$4:$C$503,設定!$A$12,タスク!$F$4:$F$503,"進行中"))</f>
        <v/>
      </c>
      <c r="D18" s="9" t="str">
        <f aca="false">IF(設定!$A$12="","",COUNTIFS(タスク!$C$4:$C$503,設定!$A$12,タスク!$F$4:$F$503,"レビュー待ち"))</f>
        <v/>
      </c>
      <c r="E18" s="9" t="str">
        <f aca="false">IF(設定!$A$12="","",COUNTIFS(タスク!$C$4:$C$503,設定!$A$12,タスク!$G$4:$G$503,"🔴 超過"))</f>
        <v/>
      </c>
      <c r="F18" s="9" t="str">
        <f aca="false">IF(設定!$A$12="","",COUNTIFS(タスク!$C$4:$C$503,設定!$A$12,タスク!$G$4:$G$503,"🟡 今日"))</f>
        <v/>
      </c>
      <c r="G18" s="9" t="str">
        <f aca="false">IF(設定!$A$12="","",B18+C18+D18)</f>
        <v/>
      </c>
    </row>
    <row r="19" customFormat="false" ht="15" hidden="false" customHeight="false" outlineLevel="0" collapsed="false">
      <c r="A19" s="9" t="str">
        <f aca="false">IF(設定!$A$13="","",設定!$A$13)</f>
        <v/>
      </c>
      <c r="B19" s="9" t="str">
        <f aca="false">IF(設定!$A$13="","",COUNTIFS(タスク!$C$4:$C$503,設定!$A$13,タスク!$F$4:$F$503,"未着手"))</f>
        <v/>
      </c>
      <c r="C19" s="9" t="str">
        <f aca="false">IF(設定!$A$13="","",COUNTIFS(タスク!$C$4:$C$503,設定!$A$13,タスク!$F$4:$F$503,"進行中"))</f>
        <v/>
      </c>
      <c r="D19" s="9" t="str">
        <f aca="false">IF(設定!$A$13="","",COUNTIFS(タスク!$C$4:$C$503,設定!$A$13,タスク!$F$4:$F$503,"レビュー待ち"))</f>
        <v/>
      </c>
      <c r="E19" s="9" t="str">
        <f aca="false">IF(設定!$A$13="","",COUNTIFS(タスク!$C$4:$C$503,設定!$A$13,タスク!$G$4:$G$503,"🔴 超過"))</f>
        <v/>
      </c>
      <c r="F19" s="9" t="str">
        <f aca="false">IF(設定!$A$13="","",COUNTIFS(タスク!$C$4:$C$503,設定!$A$13,タスク!$G$4:$G$503,"🟡 今日"))</f>
        <v/>
      </c>
      <c r="G19" s="9" t="str">
        <f aca="false">IF(設定!$A$13="","",B19+C19+D19)</f>
        <v/>
      </c>
    </row>
    <row r="21" customFormat="false" ht="15" hidden="false" customHeight="false" outlineLevel="0" collapsed="false">
      <c r="A21" s="20" t="s">
        <v>39</v>
      </c>
    </row>
    <row r="22" customFormat="false" ht="15" hidden="false" customHeight="false" outlineLevel="0" collapsed="false">
      <c r="A22" s="22" t="s">
        <v>40</v>
      </c>
    </row>
    <row r="23" customFormat="false" ht="15" hidden="false" customHeight="false" outlineLevel="0" collapsed="false">
      <c r="A23" s="22" t="s">
        <v>41</v>
      </c>
    </row>
    <row r="24" customFormat="false" ht="15" hidden="false" customHeight="false" outlineLevel="0" collapsed="false">
      <c r="A24" s="22" t="s">
        <v>42</v>
      </c>
    </row>
    <row r="25" customFormat="false" ht="15" hidden="false" customHeight="false" outlineLevel="0" collapsed="false">
      <c r="A25" s="22" t="s">
        <v>43</v>
      </c>
    </row>
    <row r="26" customFormat="false" ht="15" hidden="false" customHeight="false" outlineLevel="0" collapsed="false">
      <c r="A26" s="22" t="s">
        <v>44</v>
      </c>
    </row>
    <row r="27" customFormat="false" ht="15" hidden="false" customHeight="false" outlineLevel="0" collapsed="false">
      <c r="A27" s="22" t="s">
        <v>45</v>
      </c>
    </row>
  </sheetData>
  <conditionalFormatting sqref="G10:G19">
    <cfRule type="expression" priority="2" aboveAverage="0" equalAverage="0" bottom="0" percent="0" rank="0" text="" dxfId="11">
      <formula>AND(G10&lt;&gt;"",G10&gt;=3)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5" min="5" style="0" width="22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false" outlineLevel="0" collapsed="false">
      <c r="A3" s="23" t="s">
        <v>48</v>
      </c>
      <c r="B3" s="23" t="s">
        <v>49</v>
      </c>
      <c r="C3" s="23" t="s">
        <v>50</v>
      </c>
      <c r="E3" s="20" t="s">
        <v>51</v>
      </c>
    </row>
    <row r="4" customFormat="false" ht="15" hidden="false" customHeight="false" outlineLevel="0" collapsed="false">
      <c r="A4" s="24" t="s">
        <v>14</v>
      </c>
      <c r="B4" s="25" t="s">
        <v>52</v>
      </c>
      <c r="C4" s="24" t="s">
        <v>53</v>
      </c>
      <c r="E4" s="26" t="s">
        <v>54</v>
      </c>
      <c r="F4" s="25" t="s">
        <v>55</v>
      </c>
      <c r="G4" s="27" t="s">
        <v>56</v>
      </c>
    </row>
    <row r="5" customFormat="false" ht="15" hidden="false" customHeight="false" outlineLevel="0" collapsed="false">
      <c r="A5" s="24" t="s">
        <v>23</v>
      </c>
      <c r="B5" s="25" t="s">
        <v>57</v>
      </c>
      <c r="C5" s="24" t="s">
        <v>53</v>
      </c>
      <c r="E5" s="26" t="s">
        <v>58</v>
      </c>
      <c r="F5" s="24" t="s">
        <v>59</v>
      </c>
      <c r="G5" s="2" t="s">
        <v>60</v>
      </c>
    </row>
    <row r="6" customFormat="false" ht="15" hidden="false" customHeight="false" outlineLevel="0" collapsed="false">
      <c r="A6" s="24" t="s">
        <v>15</v>
      </c>
      <c r="B6" s="25" t="s">
        <v>61</v>
      </c>
      <c r="C6" s="24" t="s">
        <v>62</v>
      </c>
      <c r="E6" s="26" t="s">
        <v>63</v>
      </c>
      <c r="F6" s="25"/>
      <c r="G6" s="2" t="s">
        <v>64</v>
      </c>
    </row>
    <row r="7" customFormat="false" ht="15" hidden="false" customHeight="false" outlineLevel="0" collapsed="false">
      <c r="A7" s="24" t="s">
        <v>24</v>
      </c>
      <c r="B7" s="25" t="s">
        <v>65</v>
      </c>
      <c r="C7" s="24" t="s">
        <v>62</v>
      </c>
      <c r="E7" s="26" t="s">
        <v>66</v>
      </c>
      <c r="F7" s="28"/>
      <c r="G7" s="2" t="s">
        <v>67</v>
      </c>
    </row>
    <row r="8" customFormat="false" ht="15" hidden="false" customHeight="false" outlineLevel="0" collapsed="false">
      <c r="A8" s="25"/>
      <c r="B8" s="25"/>
      <c r="C8" s="24"/>
    </row>
    <row r="9" customFormat="false" ht="15" hidden="false" customHeight="false" outlineLevel="0" collapsed="false">
      <c r="A9" s="25"/>
      <c r="B9" s="25"/>
      <c r="C9" s="24"/>
    </row>
    <row r="10" customFormat="false" ht="15" hidden="false" customHeight="false" outlineLevel="0" collapsed="false">
      <c r="A10" s="25"/>
      <c r="B10" s="25"/>
      <c r="C10" s="24"/>
      <c r="E10" s="2" t="s">
        <v>68</v>
      </c>
    </row>
    <row r="11" customFormat="false" ht="15" hidden="false" customHeight="false" outlineLevel="0" collapsed="false">
      <c r="A11" s="25"/>
      <c r="B11" s="25"/>
      <c r="C11" s="24"/>
      <c r="E11" s="29" t="s">
        <v>25</v>
      </c>
    </row>
    <row r="12" customFormat="false" ht="15" hidden="false" customHeight="false" outlineLevel="0" collapsed="false">
      <c r="A12" s="25"/>
      <c r="B12" s="25"/>
      <c r="C12" s="24"/>
      <c r="E12" s="29" t="s">
        <v>16</v>
      </c>
    </row>
    <row r="13" customFormat="false" ht="15" hidden="false" customHeight="false" outlineLevel="0" collapsed="false">
      <c r="A13" s="25"/>
      <c r="B13" s="25"/>
      <c r="C13" s="24"/>
      <c r="E13" s="29" t="s">
        <v>20</v>
      </c>
    </row>
    <row r="14" customFormat="false" ht="15" hidden="false" customHeight="false" outlineLevel="0" collapsed="false">
      <c r="A14" s="2" t="s">
        <v>69</v>
      </c>
      <c r="E14" s="29" t="s">
        <v>70</v>
      </c>
    </row>
  </sheetData>
  <dataValidations count="3">
    <dataValidation allowBlank="true" errorStyle="stop" operator="between" showDropDown="false" showErrorMessage="false" showInputMessage="false" sqref="C4:C13" type="list">
      <formula1>"新人,メンター"</formula1>
      <formula2>0</formula2>
    </dataValidation>
    <dataValidation allowBlank="true" errorStyle="stop" operator="between" showDropDown="false" showErrorMessage="false" showInputMessage="false" sqref="F4" type="list">
      <formula1>"ON,OFF"</formula1>
      <formula2>0</formula2>
    </dataValidation>
    <dataValidation allowBlank="true" errorStyle="stop" operator="between" showDropDown="false" showErrorMessage="false" showInputMessage="false" sqref="F5" type="list">
      <formula1>"下書き表示,即送信"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2026-09-08T03:50:06Z</dcterms:created>
  <dc:creator>openpyxl</dc:creator>
  <dc:description/>
  <dc:language>en-US</dc:language>
  <cp:lastModifiedBy/>
  <dcterms:modified xsi:type="dcterms:W3CDTF">2026-09-08T03:50:07Z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